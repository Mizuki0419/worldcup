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MATCH_TEAM" sheetId="6" r:id="rId1"/>
    <sheet name="Sheet3" sheetId="20" r:id="rId2"/>
    <sheet name="Sheet2" sheetId="19" r:id="rId3"/>
    <sheet name="TEAM" sheetId="8" r:id="rId4"/>
    <sheet name="FIFARANK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<sst xmlns="http://schemas.openxmlformats.org/spreadsheetml/2006/main" count="1063" uniqueCount="184">
  <si>
    <t>オブジェクト名</t>
  </si>
  <si>
    <t>種別</t>
  </si>
  <si>
    <t>match_id</t>
  </si>
  <si>
    <t>team_id</t>
  </si>
  <si>
    <t>score</t>
  </si>
  <si>
    <t>pk_score</t>
  </si>
  <si>
    <t>conduct_score</t>
  </si>
  <si>
    <t>INSERT INTO MATCH_TEAM (match_id, team_id, score, pk_score, conduct_score) VALUES</t>
  </si>
  <si>
    <t xml:space="preserve"> </t>
  </si>
  <si>
    <t>MATCH_TEAM</t>
  </si>
  <si>
    <t>トラン</t>
  </si>
  <si>
    <t>001</t>
  </si>
  <si>
    <t>A01</t>
  </si>
  <si>
    <t>NULL</t>
  </si>
  <si>
    <t>説明</t>
  </si>
  <si>
    <t>A02</t>
  </si>
  <si>
    <t>試合に参加したチーム</t>
  </si>
  <si>
    <t>002</t>
  </si>
  <si>
    <t>A03</t>
  </si>
  <si>
    <t>カラム名</t>
  </si>
  <si>
    <t>PK</t>
  </si>
  <si>
    <t>型</t>
  </si>
  <si>
    <t>003</t>
  </si>
  <si>
    <t>○</t>
  </si>
  <si>
    <t>TEXT</t>
  </si>
  <si>
    <t>試合のキー</t>
  </si>
  <si>
    <t>A04</t>
  </si>
  <si>
    <t>チームのキー　FIFAコード</t>
  </si>
  <si>
    <t>004</t>
  </si>
  <si>
    <t>INT</t>
  </si>
  <si>
    <t>得点</t>
  </si>
  <si>
    <t>PK戦のスコア</t>
  </si>
  <si>
    <t>005</t>
  </si>
  <si>
    <t>規律ポイント　TCS(Team Conduct Score)</t>
  </si>
  <si>
    <t>006</t>
  </si>
  <si>
    <t>01</t>
  </si>
  <si>
    <t>1133　→　1234</t>
  </si>
  <si>
    <t>02</t>
  </si>
  <si>
    <t>1114　→　1234</t>
  </si>
  <si>
    <t>007</t>
  </si>
  <si>
    <t>B01</t>
  </si>
  <si>
    <t>03</t>
  </si>
  <si>
    <t>1114　→　1224</t>
  </si>
  <si>
    <t>B02</t>
  </si>
  <si>
    <t>04</t>
  </si>
  <si>
    <t>1111　→　1234</t>
  </si>
  <si>
    <t>008</t>
  </si>
  <si>
    <t>05</t>
  </si>
  <si>
    <t>1111　→　1111</t>
  </si>
  <si>
    <t>B03</t>
  </si>
  <si>
    <t>06</t>
  </si>
  <si>
    <t>009</t>
  </si>
  <si>
    <t>07</t>
  </si>
  <si>
    <t>B04</t>
  </si>
  <si>
    <t>08</t>
  </si>
  <si>
    <t>010</t>
  </si>
  <si>
    <t>09</t>
  </si>
  <si>
    <t>10</t>
  </si>
  <si>
    <t>011</t>
  </si>
  <si>
    <t>11</t>
  </si>
  <si>
    <t>12</t>
  </si>
  <si>
    <t>012</t>
  </si>
  <si>
    <t>013</t>
  </si>
  <si>
    <t>C01</t>
  </si>
  <si>
    <t>C02</t>
  </si>
  <si>
    <t>014</t>
  </si>
  <si>
    <t>C03</t>
  </si>
  <si>
    <t>015</t>
  </si>
  <si>
    <t>C04</t>
  </si>
  <si>
    <t>016</t>
  </si>
  <si>
    <t>017</t>
  </si>
  <si>
    <t>018</t>
  </si>
  <si>
    <t>019</t>
  </si>
  <si>
    <t>D01</t>
  </si>
  <si>
    <t>D02</t>
  </si>
  <si>
    <t>020</t>
  </si>
  <si>
    <t>D03</t>
  </si>
  <si>
    <t>021</t>
  </si>
  <si>
    <t>D04</t>
  </si>
  <si>
    <t>022</t>
  </si>
  <si>
    <t>023</t>
  </si>
  <si>
    <t>024</t>
  </si>
  <si>
    <t>025</t>
  </si>
  <si>
    <t>E01</t>
  </si>
  <si>
    <t>E02</t>
  </si>
  <si>
    <t>026</t>
  </si>
  <si>
    <t>E03</t>
  </si>
  <si>
    <t>027</t>
  </si>
  <si>
    <t>E04</t>
  </si>
  <si>
    <t>028</t>
  </si>
  <si>
    <t>029</t>
  </si>
  <si>
    <t>030</t>
  </si>
  <si>
    <t>031</t>
  </si>
  <si>
    <t>F01</t>
  </si>
  <si>
    <t>F02</t>
  </si>
  <si>
    <t>032</t>
  </si>
  <si>
    <t>F03</t>
  </si>
  <si>
    <t>033</t>
  </si>
  <si>
    <t>F04</t>
  </si>
  <si>
    <t>034</t>
  </si>
  <si>
    <t>035</t>
  </si>
  <si>
    <t>036</t>
  </si>
  <si>
    <t>037</t>
  </si>
  <si>
    <t>G01</t>
  </si>
  <si>
    <t>G02</t>
  </si>
  <si>
    <t>038</t>
  </si>
  <si>
    <t>G03</t>
  </si>
  <si>
    <t>039</t>
  </si>
  <si>
    <t>G04</t>
  </si>
  <si>
    <t>040</t>
  </si>
  <si>
    <t>041</t>
  </si>
  <si>
    <t>042</t>
  </si>
  <si>
    <t>043</t>
  </si>
  <si>
    <t>H01</t>
  </si>
  <si>
    <t>H02</t>
  </si>
  <si>
    <t>044</t>
  </si>
  <si>
    <t>H03</t>
  </si>
  <si>
    <t>045</t>
  </si>
  <si>
    <t>H04</t>
  </si>
  <si>
    <t>046</t>
  </si>
  <si>
    <t>047</t>
  </si>
  <si>
    <t>048</t>
  </si>
  <si>
    <t>049</t>
  </si>
  <si>
    <t>I01</t>
  </si>
  <si>
    <t>I02</t>
  </si>
  <si>
    <t>050</t>
  </si>
  <si>
    <t>I03</t>
  </si>
  <si>
    <t>051</t>
  </si>
  <si>
    <t>I04</t>
  </si>
  <si>
    <t>052</t>
  </si>
  <si>
    <t>053</t>
  </si>
  <si>
    <t>054</t>
  </si>
  <si>
    <t>055</t>
  </si>
  <si>
    <t>J01</t>
  </si>
  <si>
    <t>J02</t>
  </si>
  <si>
    <t>056</t>
  </si>
  <si>
    <t>J03</t>
  </si>
  <si>
    <t>057</t>
  </si>
  <si>
    <t>J04</t>
  </si>
  <si>
    <t>058</t>
  </si>
  <si>
    <t>059</t>
  </si>
  <si>
    <t>060</t>
  </si>
  <si>
    <t>061</t>
  </si>
  <si>
    <t>K01</t>
  </si>
  <si>
    <t>K02</t>
  </si>
  <si>
    <t>062</t>
  </si>
  <si>
    <t>K03</t>
  </si>
  <si>
    <t>063</t>
  </si>
  <si>
    <t>K04</t>
  </si>
  <si>
    <t>064</t>
  </si>
  <si>
    <t>065</t>
  </si>
  <si>
    <t>066</t>
  </si>
  <si>
    <t>067</t>
  </si>
  <si>
    <t>L01</t>
  </si>
  <si>
    <t>L02</t>
  </si>
  <si>
    <t>068</t>
  </si>
  <si>
    <t>L03</t>
  </si>
  <si>
    <t>069</t>
  </si>
  <si>
    <t>L04</t>
  </si>
  <si>
    <t>070</t>
  </si>
  <si>
    <t>071</t>
  </si>
  <si>
    <t>072</t>
  </si>
  <si>
    <t>;</t>
  </si>
  <si>
    <t>group_id</t>
  </si>
  <si>
    <t>rank</t>
  </si>
  <si>
    <t>played</t>
  </si>
  <si>
    <t>win</t>
  </si>
  <si>
    <t>draw</t>
  </si>
  <si>
    <t>loss</t>
  </si>
  <si>
    <t>goal_scored</t>
  </si>
  <si>
    <t>goal_allowed</t>
  </si>
  <si>
    <t>goal_difference</t>
  </si>
  <si>
    <t>points</t>
  </si>
  <si>
    <t>fifarank</t>
  </si>
  <si>
    <t>team_name</t>
  </si>
  <si>
    <t xml:space="preserve">INSERT INTO TEAM (team_id, team_name, group_id) VALUES </t>
  </si>
  <si>
    <t>TEAM</t>
  </si>
  <si>
    <t>マスタ</t>
  </si>
  <si>
    <t>チームのマスタ</t>
  </si>
  <si>
    <t>チーム名</t>
  </si>
  <si>
    <t>グループのキー</t>
  </si>
  <si>
    <t xml:space="preserve">INSERT INTO FIFARANK (fifarank, team_id) VALUES </t>
  </si>
  <si>
    <t>FIFARANK</t>
  </si>
  <si>
    <t>FIFAランク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</si>
</sst>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_ "/>
  </numFmts>
  <fonts count="21">
    <font>
      <sz val="11"/>
      <color theme="1"/>
      <name val="メイリオ"/>
      <charset val="134"/>
    </font>
    <font>
      <b/>
      <sz val="11"/>
      <color theme="0"/>
      <name val="メイリオ"/>
      <charset val="134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179" fontId="0" fillId="0" borderId="1" xfId="1" applyNumberFormat="1" applyBorder="1">
      <alignment vertical="center"/>
    </xf>
    <xf numFmtId="49" fontId="0" fillId="0" borderId="1" xfId="0" applyNumberFormat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49" fontId="0" fillId="5" borderId="0" xfId="0" applyNumberFormat="1" applyFill="1">
      <alignment vertical="center"/>
    </xf>
    <xf numFmtId="179" fontId="0" fillId="0" borderId="0" xfId="1" applyNumberFormat="1">
      <alignment vertical="center"/>
    </xf>
    <xf numFmtId="179" fontId="0" fillId="5" borderId="0" xfId="1" applyNumberFormat="1" applyFill="1">
      <alignment vertical="center"/>
    </xf>
    <xf numFmtId="179" fontId="0" fillId="0" borderId="0" xfId="1" applyNumberFormat="1" applyFont="1">
      <alignment vertical="center"/>
    </xf>
    <xf numFmtId="0" fontId="0" fillId="0" borderId="0" xfId="0" quotePrefix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211"/>
  <sheetViews>
    <sheetView tabSelected="1" topLeftCell="A17" workbookViewId="0">
      <selection activeCell="X31" sqref="X3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  <col min="7" max="7" width="8.77777777777778" customWidth="1"/>
    <col min="8" max="8" width="7.88888888888889" customWidth="1"/>
    <col min="9" max="9" width="5.55555555555556" customWidth="1"/>
    <col min="10" max="10" width="8.44444444444444" customWidth="1"/>
    <col min="11" max="11" width="13.3333333333333" customWidth="1"/>
    <col min="12" max="16376" width="3.77777777777778" customWidth="1"/>
  </cols>
  <sheetData>
    <row r="2" spans="2:13">
      <c r="B2" s="1" t="s">
        <v>0</v>
      </c>
      <c r="C2" s="1"/>
      <c r="D2" s="1"/>
      <c r="E2" s="2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t="s">
        <v>7</v>
      </c>
      <c r="M2" t="s">
        <v>8</v>
      </c>
    </row>
    <row r="3" spans="2:13">
      <c r="B3" s="4" t="s">
        <v>9</v>
      </c>
      <c r="C3" s="4"/>
      <c r="D3" s="4"/>
      <c r="E3" s="5" t="s">
        <v>10</v>
      </c>
      <c r="G3" s="10" t="s">
        <v>11</v>
      </c>
      <c r="H3" s="10" t="s">
        <v>12</v>
      </c>
      <c r="I3" s="12">
        <v>3</v>
      </c>
      <c r="J3" s="12" t="s">
        <v>13</v>
      </c>
      <c r="K3" s="12">
        <v>-5</v>
      </c>
      <c r="L3" t="str">
        <f t="shared" ref="L3:L66" si="0">CHAR(9)&amp;"('"&amp;G3&amp;"', '"&amp;H3&amp;"', "&amp;I3&amp;", "&amp;J3&amp;", "&amp;K3&amp;"),"</f>
        <v>	('001', 'A01', 3, NULL, -5),</v>
      </c>
      <c r="M3" t="s">
        <v>8</v>
      </c>
    </row>
    <row r="4" spans="2:13">
      <c r="B4" s="1" t="s">
        <v>14</v>
      </c>
      <c r="C4" s="1"/>
      <c r="D4" s="1"/>
      <c r="E4" s="1"/>
      <c r="G4" s="10" t="s">
        <v>11</v>
      </c>
      <c r="H4" s="10" t="s">
        <v>15</v>
      </c>
      <c r="I4" s="12">
        <v>0</v>
      </c>
      <c r="J4" s="12" t="s">
        <v>13</v>
      </c>
      <c r="K4" s="12">
        <v>-10</v>
      </c>
      <c r="L4" t="str">
        <f t="shared" si="0"/>
        <v>	('001', 'A02', 0, NULL, -10),</v>
      </c>
      <c r="M4" t="s">
        <v>8</v>
      </c>
    </row>
    <row r="5" spans="2:13">
      <c r="B5" s="4" t="s">
        <v>16</v>
      </c>
      <c r="C5" s="4"/>
      <c r="D5" s="4"/>
      <c r="E5" s="4"/>
      <c r="G5" s="10" t="s">
        <v>17</v>
      </c>
      <c r="H5" s="10" t="s">
        <v>12</v>
      </c>
      <c r="I5" s="12">
        <v>3</v>
      </c>
      <c r="J5" s="12" t="s">
        <v>13</v>
      </c>
      <c r="K5" s="12">
        <v>-1</v>
      </c>
      <c r="L5" t="str">
        <f t="shared" si="0"/>
        <v>	('002', 'A01', 3, NULL, -1),</v>
      </c>
      <c r="M5" t="s">
        <v>8</v>
      </c>
    </row>
    <row r="6" spans="7:13">
      <c r="G6" s="10" t="s">
        <v>17</v>
      </c>
      <c r="H6" s="10" t="s">
        <v>18</v>
      </c>
      <c r="I6" s="12">
        <v>0</v>
      </c>
      <c r="J6" s="12" t="s">
        <v>13</v>
      </c>
      <c r="K6" s="12">
        <v>0</v>
      </c>
      <c r="L6" t="str">
        <f t="shared" si="0"/>
        <v>	('002', 'A03', 0, NULL, 0),</v>
      </c>
      <c r="M6" t="s">
        <v>8</v>
      </c>
    </row>
    <row r="7" spans="2:13">
      <c r="B7" s="8" t="s">
        <v>19</v>
      </c>
      <c r="C7" s="8" t="s">
        <v>20</v>
      </c>
      <c r="D7" s="8" t="s">
        <v>21</v>
      </c>
      <c r="E7" s="8" t="s">
        <v>14</v>
      </c>
      <c r="G7" s="10" t="s">
        <v>22</v>
      </c>
      <c r="H7" s="10" t="s">
        <v>12</v>
      </c>
      <c r="I7" s="12">
        <v>0</v>
      </c>
      <c r="J7" s="12" t="s">
        <v>13</v>
      </c>
      <c r="K7" s="12">
        <v>-2</v>
      </c>
      <c r="L7" t="str">
        <f t="shared" si="0"/>
        <v>	('003', 'A01', 0, NULL, -2),</v>
      </c>
      <c r="M7" t="s">
        <v>8</v>
      </c>
    </row>
    <row r="8" spans="2:13">
      <c r="B8" s="9" t="s">
        <v>2</v>
      </c>
      <c r="C8" s="5" t="s">
        <v>23</v>
      </c>
      <c r="D8" s="5" t="s">
        <v>24</v>
      </c>
      <c r="E8" s="9" t="s">
        <v>25</v>
      </c>
      <c r="G8" s="10" t="s">
        <v>22</v>
      </c>
      <c r="H8" s="10" t="s">
        <v>26</v>
      </c>
      <c r="I8" s="12">
        <v>3</v>
      </c>
      <c r="J8" s="12" t="s">
        <v>13</v>
      </c>
      <c r="K8" s="12">
        <v>-3</v>
      </c>
      <c r="L8" t="str">
        <f t="shared" si="0"/>
        <v>	('003', 'A04', 3, NULL, -3),</v>
      </c>
      <c r="M8" t="s">
        <v>8</v>
      </c>
    </row>
    <row r="9" spans="2:13">
      <c r="B9" s="9" t="s">
        <v>3</v>
      </c>
      <c r="C9" s="5" t="s">
        <v>23</v>
      </c>
      <c r="D9" s="5" t="s">
        <v>24</v>
      </c>
      <c r="E9" s="9" t="s">
        <v>27</v>
      </c>
      <c r="G9" s="10" t="s">
        <v>28</v>
      </c>
      <c r="H9" s="10" t="s">
        <v>15</v>
      </c>
      <c r="I9" s="12">
        <v>3</v>
      </c>
      <c r="J9" s="12" t="s">
        <v>13</v>
      </c>
      <c r="K9" s="12">
        <v>-1</v>
      </c>
      <c r="L9" t="str">
        <f t="shared" si="0"/>
        <v>	('004', 'A02', 3, NULL, -1),</v>
      </c>
      <c r="M9" t="s">
        <v>8</v>
      </c>
    </row>
    <row r="10" spans="2:13">
      <c r="B10" s="9" t="s">
        <v>4</v>
      </c>
      <c r="C10" s="5"/>
      <c r="D10" s="5" t="s">
        <v>29</v>
      </c>
      <c r="E10" s="9" t="s">
        <v>30</v>
      </c>
      <c r="G10" s="10" t="s">
        <v>28</v>
      </c>
      <c r="H10" s="10" t="s">
        <v>18</v>
      </c>
      <c r="I10" s="12">
        <v>0</v>
      </c>
      <c r="J10" s="12" t="s">
        <v>13</v>
      </c>
      <c r="K10" s="12">
        <v>-5</v>
      </c>
      <c r="L10" t="str">
        <f t="shared" si="0"/>
        <v>	('004', 'A03', 0, NULL, -5),</v>
      </c>
      <c r="M10" t="s">
        <v>8</v>
      </c>
    </row>
    <row r="11" spans="2:13">
      <c r="B11" s="9" t="s">
        <v>5</v>
      </c>
      <c r="C11" s="5"/>
      <c r="D11" s="5" t="s">
        <v>29</v>
      </c>
      <c r="E11" s="9" t="s">
        <v>31</v>
      </c>
      <c r="G11" s="10" t="s">
        <v>32</v>
      </c>
      <c r="H11" s="10" t="s">
        <v>15</v>
      </c>
      <c r="I11" s="12">
        <v>3</v>
      </c>
      <c r="J11" s="12" t="s">
        <v>13</v>
      </c>
      <c r="K11" s="12">
        <v>-2</v>
      </c>
      <c r="L11" t="str">
        <f t="shared" si="0"/>
        <v>	('005', 'A02', 3, NULL, -2),</v>
      </c>
      <c r="M11" t="s">
        <v>8</v>
      </c>
    </row>
    <row r="12" spans="2:13">
      <c r="B12" s="9" t="s">
        <v>6</v>
      </c>
      <c r="C12" s="5"/>
      <c r="D12" s="5" t="s">
        <v>29</v>
      </c>
      <c r="E12" s="9" t="s">
        <v>33</v>
      </c>
      <c r="G12" s="10" t="s">
        <v>32</v>
      </c>
      <c r="H12" s="10" t="s">
        <v>26</v>
      </c>
      <c r="I12" s="12">
        <v>0</v>
      </c>
      <c r="J12" s="12" t="s">
        <v>13</v>
      </c>
      <c r="K12" s="12">
        <v>-1</v>
      </c>
      <c r="L12" t="str">
        <f t="shared" si="0"/>
        <v>	('005', 'A04', 0, NULL, -1),</v>
      </c>
      <c r="M12" t="s">
        <v>8</v>
      </c>
    </row>
    <row r="13" spans="7:13">
      <c r="G13" s="10" t="s">
        <v>34</v>
      </c>
      <c r="H13" s="10" t="s">
        <v>18</v>
      </c>
      <c r="I13" s="12">
        <v>3</v>
      </c>
      <c r="J13" s="12" t="s">
        <v>13</v>
      </c>
      <c r="K13" s="12">
        <v>-2</v>
      </c>
      <c r="L13" t="str">
        <f t="shared" si="0"/>
        <v>	('006', 'A03', 3, NULL, -2),</v>
      </c>
      <c r="M13" t="s">
        <v>8</v>
      </c>
    </row>
    <row r="14" spans="2:13">
      <c r="B14" t="s">
        <v>35</v>
      </c>
      <c r="C14" t="s">
        <v>36</v>
      </c>
      <c r="G14" s="10" t="s">
        <v>34</v>
      </c>
      <c r="H14" s="10" t="s">
        <v>26</v>
      </c>
      <c r="I14" s="12">
        <v>0</v>
      </c>
      <c r="J14" s="12" t="s">
        <v>13</v>
      </c>
      <c r="K14" s="12">
        <v>0</v>
      </c>
      <c r="L14" t="str">
        <f t="shared" si="0"/>
        <v>	('006', 'A04', 0, NULL, 0),</v>
      </c>
      <c r="M14" t="s">
        <v>8</v>
      </c>
    </row>
    <row r="15" spans="2:13">
      <c r="B15" t="s">
        <v>37</v>
      </c>
      <c r="C15" t="s">
        <v>38</v>
      </c>
      <c r="D15"/>
      <c r="G15" s="10" t="s">
        <v>39</v>
      </c>
      <c r="H15" s="10" t="s">
        <v>40</v>
      </c>
      <c r="I15" s="12">
        <v>9</v>
      </c>
      <c r="J15" s="12" t="s">
        <v>13</v>
      </c>
      <c r="K15" s="12">
        <v>-1</v>
      </c>
      <c r="L15" t="str">
        <f t="shared" si="0"/>
        <v>	('007', 'B01', 9, NULL, -1),</v>
      </c>
      <c r="M15" t="s">
        <v>8</v>
      </c>
    </row>
    <row r="16" spans="2:13">
      <c r="B16" t="s">
        <v>41</v>
      </c>
      <c r="C16" t="s">
        <v>42</v>
      </c>
      <c r="D16"/>
      <c r="G16" s="10" t="s">
        <v>39</v>
      </c>
      <c r="H16" s="10" t="s">
        <v>43</v>
      </c>
      <c r="I16" s="12">
        <v>0</v>
      </c>
      <c r="J16" s="12" t="s">
        <v>13</v>
      </c>
      <c r="K16" s="12">
        <v>-3</v>
      </c>
      <c r="L16" t="str">
        <f t="shared" si="0"/>
        <v>	('007', 'B02', 0, NULL, -3),</v>
      </c>
      <c r="M16" t="s">
        <v>8</v>
      </c>
    </row>
    <row r="17" spans="2:13">
      <c r="B17" t="s">
        <v>44</v>
      </c>
      <c r="C17" t="s">
        <v>45</v>
      </c>
      <c r="D17"/>
      <c r="G17" s="10" t="s">
        <v>46</v>
      </c>
      <c r="H17" s="10" t="s">
        <v>40</v>
      </c>
      <c r="I17" s="12">
        <v>0</v>
      </c>
      <c r="J17" s="12" t="s">
        <v>13</v>
      </c>
      <c r="K17" s="12">
        <v>0</v>
      </c>
      <c r="L17" t="str">
        <f t="shared" si="0"/>
        <v>	('008', 'B01', 0, NULL, 0),</v>
      </c>
      <c r="M17" t="s">
        <v>8</v>
      </c>
    </row>
    <row r="18" spans="2:13">
      <c r="B18" t="s">
        <v>47</v>
      </c>
      <c r="C18" t="s">
        <v>48</v>
      </c>
      <c r="D18"/>
      <c r="G18" s="10" t="s">
        <v>46</v>
      </c>
      <c r="H18" s="10" t="s">
        <v>49</v>
      </c>
      <c r="I18" s="12">
        <v>3</v>
      </c>
      <c r="J18" s="12" t="s">
        <v>13</v>
      </c>
      <c r="K18" s="12">
        <v>-1</v>
      </c>
      <c r="L18" t="str">
        <f t="shared" si="0"/>
        <v>	('008', 'B03', 3, NULL, -1),</v>
      </c>
      <c r="M18" t="s">
        <v>8</v>
      </c>
    </row>
    <row r="19" spans="2:13">
      <c r="B19" t="s">
        <v>50</v>
      </c>
      <c r="G19" s="10" t="s">
        <v>51</v>
      </c>
      <c r="H19" s="10" t="s">
        <v>40</v>
      </c>
      <c r="I19" s="12">
        <v>3</v>
      </c>
      <c r="J19" s="12" t="s">
        <v>13</v>
      </c>
      <c r="K19" s="12">
        <v>0</v>
      </c>
      <c r="L19" t="str">
        <f t="shared" si="0"/>
        <v>	('009', 'B01', 3, NULL, 0),</v>
      </c>
      <c r="M19" t="s">
        <v>8</v>
      </c>
    </row>
    <row r="20" spans="2:13">
      <c r="B20" t="s">
        <v>52</v>
      </c>
      <c r="G20" s="10" t="s">
        <v>51</v>
      </c>
      <c r="H20" s="10" t="s">
        <v>53</v>
      </c>
      <c r="I20" s="12">
        <v>0</v>
      </c>
      <c r="J20" s="12" t="s">
        <v>13</v>
      </c>
      <c r="K20" s="12">
        <v>0</v>
      </c>
      <c r="L20" t="str">
        <f t="shared" si="0"/>
        <v>	('009', 'B04', 0, NULL, 0),</v>
      </c>
      <c r="M20" t="s">
        <v>8</v>
      </c>
    </row>
    <row r="21" spans="2:13">
      <c r="B21" t="s">
        <v>54</v>
      </c>
      <c r="G21" s="10" t="s">
        <v>55</v>
      </c>
      <c r="H21" s="10" t="s">
        <v>43</v>
      </c>
      <c r="I21" s="12">
        <v>6</v>
      </c>
      <c r="J21" s="12" t="s">
        <v>13</v>
      </c>
      <c r="K21" s="12">
        <v>-3</v>
      </c>
      <c r="L21" t="str">
        <f t="shared" si="0"/>
        <v>	('010', 'B02', 6, NULL, -3),</v>
      </c>
      <c r="M21" t="s">
        <v>8</v>
      </c>
    </row>
    <row r="22" spans="2:13">
      <c r="B22" t="s">
        <v>56</v>
      </c>
      <c r="G22" s="10" t="s">
        <v>55</v>
      </c>
      <c r="H22" s="10" t="s">
        <v>49</v>
      </c>
      <c r="I22" s="12">
        <v>0</v>
      </c>
      <c r="J22" s="12" t="s">
        <v>13</v>
      </c>
      <c r="K22" s="12">
        <v>0</v>
      </c>
      <c r="L22" t="str">
        <f t="shared" si="0"/>
        <v>	('010', 'B03', 0, NULL, 0),</v>
      </c>
      <c r="M22" t="s">
        <v>8</v>
      </c>
    </row>
    <row r="23" spans="2:13">
      <c r="B23" t="s">
        <v>57</v>
      </c>
      <c r="G23" s="10" t="s">
        <v>58</v>
      </c>
      <c r="H23" s="10" t="s">
        <v>43</v>
      </c>
      <c r="I23" s="12">
        <v>3</v>
      </c>
      <c r="J23" s="12" t="s">
        <v>13</v>
      </c>
      <c r="K23" s="12">
        <v>-3</v>
      </c>
      <c r="L23" t="str">
        <f t="shared" si="0"/>
        <v>	('011', 'B02', 3, NULL, -3),</v>
      </c>
      <c r="M23" t="s">
        <v>8</v>
      </c>
    </row>
    <row r="24" spans="2:13">
      <c r="B24" t="s">
        <v>59</v>
      </c>
      <c r="G24" s="10" t="s">
        <v>58</v>
      </c>
      <c r="H24" s="10" t="s">
        <v>53</v>
      </c>
      <c r="I24" s="12">
        <v>0</v>
      </c>
      <c r="J24" s="12" t="s">
        <v>13</v>
      </c>
      <c r="K24" s="12">
        <v>-1</v>
      </c>
      <c r="L24" t="str">
        <f t="shared" si="0"/>
        <v>	('011', 'B04', 0, NULL, -1),</v>
      </c>
      <c r="M24" t="s">
        <v>8</v>
      </c>
    </row>
    <row r="25" spans="2:13">
      <c r="B25" t="s">
        <v>60</v>
      </c>
      <c r="G25" s="10" t="s">
        <v>61</v>
      </c>
      <c r="H25" s="10" t="s">
        <v>49</v>
      </c>
      <c r="I25" s="12">
        <v>3</v>
      </c>
      <c r="J25" s="12" t="s">
        <v>13</v>
      </c>
      <c r="K25" s="12">
        <v>0</v>
      </c>
      <c r="L25" t="str">
        <f t="shared" si="0"/>
        <v>	('012', 'B03', 3, NULL, 0),</v>
      </c>
      <c r="M25" t="s">
        <v>8</v>
      </c>
    </row>
    <row r="26" spans="7:13">
      <c r="G26" s="10" t="s">
        <v>61</v>
      </c>
      <c r="H26" s="10" t="s">
        <v>53</v>
      </c>
      <c r="I26" s="12">
        <v>0</v>
      </c>
      <c r="J26" s="12" t="s">
        <v>13</v>
      </c>
      <c r="K26" s="12">
        <v>-1</v>
      </c>
      <c r="L26" t="str">
        <f t="shared" si="0"/>
        <v>	('012', 'B04', 0, NULL, -1),</v>
      </c>
      <c r="M26" t="s">
        <v>8</v>
      </c>
    </row>
    <row r="27" spans="7:19">
      <c r="G27" s="11" t="s">
        <v>62</v>
      </c>
      <c r="H27" s="11" t="s">
        <v>63</v>
      </c>
      <c r="I27" s="13">
        <v>4</v>
      </c>
      <c r="J27" s="13" t="s">
        <v>13</v>
      </c>
      <c r="K27" s="13">
        <v>-1</v>
      </c>
      <c r="L27" t="str">
        <f t="shared" si="0"/>
        <v>	('013', 'C01', 4, NULL, -1),</v>
      </c>
      <c r="M27" t="s">
        <v>8</v>
      </c>
      <c r="P27">
        <v>1</v>
      </c>
      <c r="Q27">
        <v>2</v>
      </c>
      <c r="R27">
        <v>3</v>
      </c>
      <c r="S27">
        <v>4</v>
      </c>
    </row>
    <row r="28" spans="7:24">
      <c r="G28" s="11" t="s">
        <v>62</v>
      </c>
      <c r="H28" s="11" t="s">
        <v>64</v>
      </c>
      <c r="I28" s="13">
        <v>1</v>
      </c>
      <c r="J28" s="13" t="s">
        <v>13</v>
      </c>
      <c r="K28" s="13">
        <v>-1</v>
      </c>
      <c r="L28" t="str">
        <f t="shared" si="0"/>
        <v>	('013', 'C02', 1, NULL, -1),</v>
      </c>
      <c r="M28" t="s">
        <v>8</v>
      </c>
      <c r="O28">
        <v>1</v>
      </c>
      <c r="Q28">
        <v>41</v>
      </c>
      <c r="R28" s="15" t="s">
        <v>41</v>
      </c>
      <c r="S28">
        <v>30</v>
      </c>
      <c r="U28">
        <v>6</v>
      </c>
      <c r="V28">
        <v>3</v>
      </c>
      <c r="W28">
        <v>0</v>
      </c>
      <c r="X28">
        <v>4</v>
      </c>
    </row>
    <row r="29" spans="7:24">
      <c r="G29" s="11" t="s">
        <v>65</v>
      </c>
      <c r="H29" s="11" t="s">
        <v>63</v>
      </c>
      <c r="I29" s="13">
        <v>0</v>
      </c>
      <c r="J29" s="13" t="s">
        <v>13</v>
      </c>
      <c r="K29" s="13">
        <v>-2</v>
      </c>
      <c r="L29" t="str">
        <f t="shared" si="0"/>
        <v>	('014', 'C01', 0, NULL, -2),</v>
      </c>
      <c r="M29" t="s">
        <v>8</v>
      </c>
      <c r="O29">
        <v>2</v>
      </c>
      <c r="P29">
        <v>14</v>
      </c>
      <c r="R29">
        <v>30</v>
      </c>
      <c r="S29">
        <v>30</v>
      </c>
      <c r="U29">
        <v>6</v>
      </c>
      <c r="V29">
        <v>3</v>
      </c>
      <c r="W29">
        <v>0</v>
      </c>
      <c r="X29">
        <v>3</v>
      </c>
    </row>
    <row r="30" spans="7:24">
      <c r="G30" s="11" t="s">
        <v>65</v>
      </c>
      <c r="H30" s="11" t="s">
        <v>66</v>
      </c>
      <c r="I30" s="13">
        <v>3</v>
      </c>
      <c r="J30" s="13" t="s">
        <v>13</v>
      </c>
      <c r="K30" s="13">
        <v>-2</v>
      </c>
      <c r="L30" t="str">
        <f t="shared" si="0"/>
        <v>	('014', 'C03', 3, NULL, -2),</v>
      </c>
      <c r="M30" t="s">
        <v>8</v>
      </c>
      <c r="O30">
        <v>3</v>
      </c>
      <c r="P30">
        <v>30</v>
      </c>
      <c r="Q30" s="15" t="s">
        <v>41</v>
      </c>
      <c r="S30">
        <v>30</v>
      </c>
      <c r="U30">
        <v>6</v>
      </c>
      <c r="V30">
        <v>3</v>
      </c>
      <c r="W30">
        <v>0</v>
      </c>
      <c r="X30">
        <v>3</v>
      </c>
    </row>
    <row r="31" spans="7:21">
      <c r="G31" s="11" t="s">
        <v>67</v>
      </c>
      <c r="H31" s="11" t="s">
        <v>63</v>
      </c>
      <c r="I31" s="13">
        <v>3</v>
      </c>
      <c r="J31" s="13" t="s">
        <v>13</v>
      </c>
      <c r="K31" s="13">
        <v>-1</v>
      </c>
      <c r="L31" t="str">
        <f t="shared" si="0"/>
        <v>	('015', 'C01', 3, NULL, -1),</v>
      </c>
      <c r="M31" t="s">
        <v>8</v>
      </c>
      <c r="O31">
        <v>4</v>
      </c>
      <c r="P31" s="15" t="s">
        <v>41</v>
      </c>
      <c r="Q31" s="15" t="s">
        <v>41</v>
      </c>
      <c r="R31" s="15" t="s">
        <v>41</v>
      </c>
      <c r="U31">
        <v>0</v>
      </c>
    </row>
    <row r="32" spans="7:13">
      <c r="G32" s="11" t="s">
        <v>67</v>
      </c>
      <c r="H32" s="11" t="s">
        <v>68</v>
      </c>
      <c r="I32" s="13">
        <v>0</v>
      </c>
      <c r="J32" s="13" t="s">
        <v>13</v>
      </c>
      <c r="K32" s="13">
        <v>0</v>
      </c>
      <c r="L32" t="str">
        <f t="shared" si="0"/>
        <v>	('015', 'C04', 0, NULL, 0),</v>
      </c>
      <c r="M32" t="s">
        <v>8</v>
      </c>
    </row>
    <row r="33" spans="7:13">
      <c r="G33" s="11" t="s">
        <v>69</v>
      </c>
      <c r="H33" s="11" t="s">
        <v>64</v>
      </c>
      <c r="I33" s="13">
        <v>3</v>
      </c>
      <c r="J33" s="13" t="s">
        <v>13</v>
      </c>
      <c r="K33" s="13">
        <v>-1</v>
      </c>
      <c r="L33" t="str">
        <f t="shared" si="0"/>
        <v>	('016', 'C02', 3, NULL, -1),</v>
      </c>
      <c r="M33" t="s">
        <v>8</v>
      </c>
    </row>
    <row r="34" spans="7:13">
      <c r="G34" s="11" t="s">
        <v>69</v>
      </c>
      <c r="H34" s="11" t="s">
        <v>66</v>
      </c>
      <c r="I34" s="13">
        <v>0</v>
      </c>
      <c r="J34" s="13" t="s">
        <v>13</v>
      </c>
      <c r="K34" s="13">
        <v>0</v>
      </c>
      <c r="L34" t="str">
        <f t="shared" si="0"/>
        <v>	('016', 'C03', 0, NULL, 0),</v>
      </c>
      <c r="M34" t="s">
        <v>8</v>
      </c>
    </row>
    <row r="35" spans="7:13">
      <c r="G35" s="11" t="s">
        <v>70</v>
      </c>
      <c r="H35" s="11" t="s">
        <v>64</v>
      </c>
      <c r="I35" s="13">
        <v>3</v>
      </c>
      <c r="J35" s="13" t="s">
        <v>13</v>
      </c>
      <c r="K35" s="13">
        <v>0</v>
      </c>
      <c r="L35" t="str">
        <f t="shared" si="0"/>
        <v>	('017', 'C02', 3, NULL, 0),</v>
      </c>
      <c r="M35" t="s">
        <v>8</v>
      </c>
    </row>
    <row r="36" spans="7:13">
      <c r="G36" s="11" t="s">
        <v>70</v>
      </c>
      <c r="H36" s="11" t="s">
        <v>68</v>
      </c>
      <c r="I36" s="13">
        <v>0</v>
      </c>
      <c r="J36" s="13" t="s">
        <v>13</v>
      </c>
      <c r="K36" s="13">
        <v>0</v>
      </c>
      <c r="L36" t="str">
        <f t="shared" si="0"/>
        <v>	('017', 'C04', 0, NULL, 0),</v>
      </c>
      <c r="M36" t="s">
        <v>8</v>
      </c>
    </row>
    <row r="37" spans="7:13">
      <c r="G37" s="11" t="s">
        <v>71</v>
      </c>
      <c r="H37" s="11" t="s">
        <v>66</v>
      </c>
      <c r="I37" s="13">
        <v>3</v>
      </c>
      <c r="J37" s="13" t="s">
        <v>13</v>
      </c>
      <c r="K37" s="13">
        <v>-1</v>
      </c>
      <c r="L37" t="str">
        <f t="shared" si="0"/>
        <v>	('018', 'C03', 3, NULL, -1),</v>
      </c>
      <c r="M37" t="s">
        <v>8</v>
      </c>
    </row>
    <row r="38" spans="7:13">
      <c r="G38" s="11" t="s">
        <v>71</v>
      </c>
      <c r="H38" s="11" t="s">
        <v>68</v>
      </c>
      <c r="I38" s="13">
        <v>0</v>
      </c>
      <c r="J38" s="13" t="s">
        <v>13</v>
      </c>
      <c r="K38" s="13">
        <v>0</v>
      </c>
      <c r="L38" t="str">
        <f t="shared" si="0"/>
        <v>	('018', 'C04', 0, NULL, 0),</v>
      </c>
      <c r="M38" t="s">
        <v>8</v>
      </c>
    </row>
    <row r="39" spans="7:13">
      <c r="G39" s="10" t="s">
        <v>72</v>
      </c>
      <c r="H39" s="10" t="s">
        <v>73</v>
      </c>
      <c r="I39" s="12">
        <v>4</v>
      </c>
      <c r="J39" s="12" t="s">
        <v>13</v>
      </c>
      <c r="K39" s="12">
        <v>0</v>
      </c>
      <c r="L39" t="str">
        <f t="shared" si="0"/>
        <v>	('019', 'D01', 4, NULL, 0),</v>
      </c>
      <c r="M39" t="s">
        <v>8</v>
      </c>
    </row>
    <row r="40" spans="7:19">
      <c r="G40" s="10" t="s">
        <v>72</v>
      </c>
      <c r="H40" s="10" t="s">
        <v>74</v>
      </c>
      <c r="I40" s="12">
        <v>3</v>
      </c>
      <c r="J40" s="12" t="s">
        <v>13</v>
      </c>
      <c r="K40" s="12">
        <v>0</v>
      </c>
      <c r="L40" t="str">
        <f t="shared" si="0"/>
        <v>	('019', 'D02', 3, NULL, 0),</v>
      </c>
      <c r="M40" t="s">
        <v>8</v>
      </c>
      <c r="P40" s="10"/>
      <c r="Q40" s="10"/>
      <c r="R40" s="10"/>
      <c r="S40" s="10"/>
    </row>
    <row r="41" spans="7:19">
      <c r="G41" s="10" t="s">
        <v>75</v>
      </c>
      <c r="H41" s="10" t="s">
        <v>73</v>
      </c>
      <c r="I41" s="12">
        <v>0</v>
      </c>
      <c r="J41" s="12" t="s">
        <v>13</v>
      </c>
      <c r="K41" s="12">
        <v>-1</v>
      </c>
      <c r="L41" t="str">
        <f t="shared" si="0"/>
        <v>	('020', 'D01', 0, NULL, -1),</v>
      </c>
      <c r="M41" t="s">
        <v>8</v>
      </c>
      <c r="P41" s="10"/>
      <c r="Q41" s="10"/>
      <c r="R41" s="10"/>
      <c r="S41" s="10"/>
    </row>
    <row r="42" spans="7:19">
      <c r="G42" s="10" t="s">
        <v>75</v>
      </c>
      <c r="H42" s="10" t="s">
        <v>76</v>
      </c>
      <c r="I42" s="12">
        <v>0</v>
      </c>
      <c r="J42" s="12" t="s">
        <v>13</v>
      </c>
      <c r="K42" s="12">
        <v>0</v>
      </c>
      <c r="L42" t="str">
        <f t="shared" si="0"/>
        <v>	('020', 'D03', 0, NULL, 0),</v>
      </c>
      <c r="M42" t="s">
        <v>8</v>
      </c>
      <c r="P42" s="10"/>
      <c r="Q42" s="10"/>
      <c r="R42" s="10"/>
      <c r="S42" s="10"/>
    </row>
    <row r="43" spans="7:19">
      <c r="G43" s="10" t="s">
        <v>77</v>
      </c>
      <c r="H43" s="10" t="s">
        <v>73</v>
      </c>
      <c r="I43" s="12">
        <v>0</v>
      </c>
      <c r="J43" s="12" t="s">
        <v>13</v>
      </c>
      <c r="K43" s="12">
        <v>-3</v>
      </c>
      <c r="L43" t="str">
        <f t="shared" si="0"/>
        <v>	('021', 'D01', 0, NULL, -3),</v>
      </c>
      <c r="M43" t="s">
        <v>8</v>
      </c>
      <c r="P43" s="10"/>
      <c r="Q43" s="10"/>
      <c r="R43" s="10"/>
      <c r="S43" s="10"/>
    </row>
    <row r="44" spans="7:13">
      <c r="G44" s="10" t="s">
        <v>77</v>
      </c>
      <c r="H44" s="10" t="s">
        <v>78</v>
      </c>
      <c r="I44" s="12">
        <v>1</v>
      </c>
      <c r="J44" s="12" t="s">
        <v>13</v>
      </c>
      <c r="K44" s="12">
        <v>-1</v>
      </c>
      <c r="L44" t="str">
        <f t="shared" si="0"/>
        <v>	('021', 'D04', 1, NULL, -1),</v>
      </c>
      <c r="M44" t="s">
        <v>8</v>
      </c>
    </row>
    <row r="45" spans="7:13">
      <c r="G45" s="10" t="s">
        <v>79</v>
      </c>
      <c r="H45" s="10" t="s">
        <v>74</v>
      </c>
      <c r="I45" s="12">
        <v>3</v>
      </c>
      <c r="J45" s="12" t="s">
        <v>13</v>
      </c>
      <c r="K45" s="12">
        <v>0</v>
      </c>
      <c r="L45" t="str">
        <f t="shared" si="0"/>
        <v>	('022', 'D02', 3, NULL, 0),</v>
      </c>
      <c r="M45" t="s">
        <v>8</v>
      </c>
    </row>
    <row r="46" spans="7:13">
      <c r="G46" s="10" t="s">
        <v>79</v>
      </c>
      <c r="H46" s="10" t="s">
        <v>76</v>
      </c>
      <c r="I46" s="12">
        <v>2</v>
      </c>
      <c r="J46" s="12" t="s">
        <v>13</v>
      </c>
      <c r="K46" s="12">
        <v>0</v>
      </c>
      <c r="L46" t="str">
        <f t="shared" si="0"/>
        <v>	('022', 'D03', 2, NULL, 0),</v>
      </c>
      <c r="M46" t="s">
        <v>8</v>
      </c>
    </row>
    <row r="47" spans="7:13">
      <c r="G47" s="10" t="s">
        <v>80</v>
      </c>
      <c r="H47" s="10" t="s">
        <v>74</v>
      </c>
      <c r="I47" s="12">
        <v>0</v>
      </c>
      <c r="J47" s="12" t="s">
        <v>13</v>
      </c>
      <c r="K47" s="12">
        <v>-1</v>
      </c>
      <c r="L47" t="str">
        <f t="shared" si="0"/>
        <v>	('023', 'D02', 0, NULL, -1),</v>
      </c>
      <c r="M47" t="s">
        <v>8</v>
      </c>
    </row>
    <row r="48" spans="7:13">
      <c r="G48" s="10" t="s">
        <v>80</v>
      </c>
      <c r="H48" s="10" t="s">
        <v>78</v>
      </c>
      <c r="I48" s="12">
        <v>0</v>
      </c>
      <c r="J48" s="12" t="s">
        <v>13</v>
      </c>
      <c r="K48" s="12">
        <v>-2</v>
      </c>
      <c r="L48" t="str">
        <f t="shared" si="0"/>
        <v>	('023', 'D04', 0, NULL, -2),</v>
      </c>
      <c r="M48" t="s">
        <v>8</v>
      </c>
    </row>
    <row r="49" spans="7:13">
      <c r="G49" s="10" t="s">
        <v>81</v>
      </c>
      <c r="H49" s="10" t="s">
        <v>76</v>
      </c>
      <c r="I49" s="12">
        <v>2</v>
      </c>
      <c r="J49" s="12" t="s">
        <v>13</v>
      </c>
      <c r="K49" s="12">
        <v>-1</v>
      </c>
      <c r="L49" t="str">
        <f t="shared" si="0"/>
        <v>	('024', 'D03', 2, NULL, -1),</v>
      </c>
      <c r="M49" t="s">
        <v>8</v>
      </c>
    </row>
    <row r="50" spans="7:13">
      <c r="G50" s="10" t="s">
        <v>81</v>
      </c>
      <c r="H50" s="10" t="s">
        <v>78</v>
      </c>
      <c r="I50" s="12">
        <v>1</v>
      </c>
      <c r="J50" s="12" t="s">
        <v>13</v>
      </c>
      <c r="K50" s="12">
        <v>-1</v>
      </c>
      <c r="L50" t="str">
        <f t="shared" si="0"/>
        <v>	('024', 'D04', 1, NULL, -1),</v>
      </c>
      <c r="M50" t="s">
        <v>8</v>
      </c>
    </row>
    <row r="51" spans="7:13">
      <c r="G51" s="10" t="s">
        <v>82</v>
      </c>
      <c r="H51" s="10" t="s">
        <v>83</v>
      </c>
      <c r="I51" s="12">
        <v>0</v>
      </c>
      <c r="J51" s="12" t="s">
        <v>13</v>
      </c>
      <c r="K51" s="12">
        <v>-1</v>
      </c>
      <c r="L51" t="str">
        <f t="shared" si="0"/>
        <v>	('025', 'E01', 0, NULL, -1),</v>
      </c>
      <c r="M51" t="s">
        <v>8</v>
      </c>
    </row>
    <row r="52" spans="7:13">
      <c r="G52" s="10" t="s">
        <v>82</v>
      </c>
      <c r="H52" s="10" t="s">
        <v>84</v>
      </c>
      <c r="I52" s="12">
        <v>0</v>
      </c>
      <c r="J52" s="12" t="s">
        <v>13</v>
      </c>
      <c r="K52" s="12">
        <v>-2</v>
      </c>
      <c r="L52" t="str">
        <f t="shared" si="0"/>
        <v>	('025', 'E02', 0, NULL, -2),</v>
      </c>
      <c r="M52" t="s">
        <v>8</v>
      </c>
    </row>
    <row r="53" spans="7:13">
      <c r="G53" s="10" t="s">
        <v>85</v>
      </c>
      <c r="H53" s="10" t="s">
        <v>83</v>
      </c>
      <c r="I53" s="12">
        <v>0</v>
      </c>
      <c r="J53" s="12" t="s">
        <v>13</v>
      </c>
      <c r="K53" s="12">
        <v>-1</v>
      </c>
      <c r="L53" t="str">
        <f t="shared" si="0"/>
        <v>	('026', 'E01', 0, NULL, -1),</v>
      </c>
      <c r="M53" t="s">
        <v>8</v>
      </c>
    </row>
    <row r="54" spans="7:13">
      <c r="G54" s="10" t="s">
        <v>85</v>
      </c>
      <c r="H54" s="10" t="s">
        <v>86</v>
      </c>
      <c r="I54" s="12">
        <v>0</v>
      </c>
      <c r="J54" s="12" t="s">
        <v>13</v>
      </c>
      <c r="K54" s="12">
        <v>-6</v>
      </c>
      <c r="L54" t="str">
        <f t="shared" si="0"/>
        <v>	('026', 'E03', 0, NULL, -6),</v>
      </c>
      <c r="M54" t="s">
        <v>8</v>
      </c>
    </row>
    <row r="55" spans="7:13">
      <c r="G55" s="10" t="s">
        <v>87</v>
      </c>
      <c r="H55" s="10" t="s">
        <v>83</v>
      </c>
      <c r="I55" s="12">
        <v>0</v>
      </c>
      <c r="J55" s="12" t="s">
        <v>13</v>
      </c>
      <c r="K55" s="12">
        <v>-1</v>
      </c>
      <c r="L55" t="str">
        <f t="shared" si="0"/>
        <v>	('027', 'E01', 0, NULL, -1),</v>
      </c>
      <c r="M55" t="s">
        <v>8</v>
      </c>
    </row>
    <row r="56" spans="7:13">
      <c r="G56" s="10" t="s">
        <v>87</v>
      </c>
      <c r="H56" s="10" t="s">
        <v>88</v>
      </c>
      <c r="I56" s="12">
        <v>0</v>
      </c>
      <c r="J56" s="12" t="s">
        <v>13</v>
      </c>
      <c r="K56" s="12">
        <v>-9</v>
      </c>
      <c r="L56" t="str">
        <f t="shared" si="0"/>
        <v>	('027', 'E04', 0, NULL, -9),</v>
      </c>
      <c r="M56" t="s">
        <v>8</v>
      </c>
    </row>
    <row r="57" spans="7:13">
      <c r="G57" s="10" t="s">
        <v>89</v>
      </c>
      <c r="H57" s="10" t="s">
        <v>84</v>
      </c>
      <c r="I57" s="12">
        <v>0</v>
      </c>
      <c r="J57" s="12" t="s">
        <v>13</v>
      </c>
      <c r="K57" s="12">
        <v>0</v>
      </c>
      <c r="L57" t="str">
        <f t="shared" si="0"/>
        <v>	('028', 'E02', 0, NULL, 0),</v>
      </c>
      <c r="M57" t="s">
        <v>8</v>
      </c>
    </row>
    <row r="58" spans="7:13">
      <c r="G58" s="10" t="s">
        <v>89</v>
      </c>
      <c r="H58" s="10" t="s">
        <v>86</v>
      </c>
      <c r="I58" s="12">
        <v>0</v>
      </c>
      <c r="J58" s="12" t="s">
        <v>13</v>
      </c>
      <c r="K58" s="12">
        <v>-2</v>
      </c>
      <c r="L58" t="str">
        <f t="shared" si="0"/>
        <v>	('028', 'E03', 0, NULL, -2),</v>
      </c>
      <c r="M58" t="s">
        <v>8</v>
      </c>
    </row>
    <row r="59" spans="7:13">
      <c r="G59" s="10" t="s">
        <v>90</v>
      </c>
      <c r="H59" s="10" t="s">
        <v>84</v>
      </c>
      <c r="I59" s="12">
        <v>0</v>
      </c>
      <c r="J59" s="12" t="s">
        <v>13</v>
      </c>
      <c r="K59" s="12">
        <v>-3</v>
      </c>
      <c r="L59" t="str">
        <f t="shared" si="0"/>
        <v>	('029', 'E02', 0, NULL, -3),</v>
      </c>
      <c r="M59" t="s">
        <v>8</v>
      </c>
    </row>
    <row r="60" spans="7:13">
      <c r="G60" s="10" t="s">
        <v>90</v>
      </c>
      <c r="H60" s="10" t="s">
        <v>88</v>
      </c>
      <c r="I60" s="12">
        <v>0</v>
      </c>
      <c r="J60" s="12" t="s">
        <v>13</v>
      </c>
      <c r="K60" s="12">
        <v>-4</v>
      </c>
      <c r="L60" t="str">
        <f t="shared" si="0"/>
        <v>	('029', 'E04', 0, NULL, -4),</v>
      </c>
      <c r="M60" t="s">
        <v>8</v>
      </c>
    </row>
    <row r="61" spans="7:13">
      <c r="G61" s="10" t="s">
        <v>91</v>
      </c>
      <c r="H61" s="10" t="s">
        <v>86</v>
      </c>
      <c r="I61" s="12">
        <v>0</v>
      </c>
      <c r="J61" s="12" t="s">
        <v>13</v>
      </c>
      <c r="K61" s="12">
        <v>-1</v>
      </c>
      <c r="L61" t="str">
        <f t="shared" si="0"/>
        <v>	('030', 'E03', 0, NULL, -1),</v>
      </c>
      <c r="M61" t="s">
        <v>8</v>
      </c>
    </row>
    <row r="62" spans="7:13">
      <c r="G62" s="10" t="s">
        <v>91</v>
      </c>
      <c r="H62" s="10" t="s">
        <v>88</v>
      </c>
      <c r="I62" s="12">
        <v>0</v>
      </c>
      <c r="J62" s="12" t="s">
        <v>13</v>
      </c>
      <c r="K62" s="12">
        <v>-1</v>
      </c>
      <c r="L62" t="str">
        <f t="shared" si="0"/>
        <v>	('030', 'E04', 0, NULL, -1),</v>
      </c>
      <c r="M62" t="s">
        <v>8</v>
      </c>
    </row>
    <row r="63" spans="7:13">
      <c r="G63" s="10" t="s">
        <v>92</v>
      </c>
      <c r="H63" s="10" t="s">
        <v>93</v>
      </c>
      <c r="I63" s="12">
        <v>0</v>
      </c>
      <c r="J63" s="12" t="s">
        <v>13</v>
      </c>
      <c r="K63" s="12">
        <v>-1</v>
      </c>
      <c r="L63" t="str">
        <f t="shared" si="0"/>
        <v>	('031', 'F01', 0, NULL, -1),</v>
      </c>
      <c r="M63" t="s">
        <v>8</v>
      </c>
    </row>
    <row r="64" spans="7:13">
      <c r="G64" s="10" t="s">
        <v>92</v>
      </c>
      <c r="H64" s="10" t="s">
        <v>94</v>
      </c>
      <c r="I64" s="12">
        <v>0</v>
      </c>
      <c r="J64" s="12" t="s">
        <v>13</v>
      </c>
      <c r="K64" s="12">
        <v>-3</v>
      </c>
      <c r="L64" t="str">
        <f t="shared" si="0"/>
        <v>	('031', 'F02', 0, NULL, -3),</v>
      </c>
      <c r="M64" t="s">
        <v>8</v>
      </c>
    </row>
    <row r="65" spans="7:13">
      <c r="G65" s="10" t="s">
        <v>95</v>
      </c>
      <c r="H65" s="10" t="s">
        <v>93</v>
      </c>
      <c r="I65" s="12">
        <v>0</v>
      </c>
      <c r="J65" s="12" t="s">
        <v>13</v>
      </c>
      <c r="K65" s="12">
        <v>-2</v>
      </c>
      <c r="L65" t="str">
        <f t="shared" si="0"/>
        <v>	('032', 'F01', 0, NULL, -2),</v>
      </c>
      <c r="M65" t="s">
        <v>8</v>
      </c>
    </row>
    <row r="66" spans="7:13">
      <c r="G66" s="10" t="s">
        <v>95</v>
      </c>
      <c r="H66" s="10" t="s">
        <v>96</v>
      </c>
      <c r="I66" s="12">
        <v>0</v>
      </c>
      <c r="J66" s="12" t="s">
        <v>13</v>
      </c>
      <c r="K66" s="12">
        <v>-6</v>
      </c>
      <c r="L66" t="str">
        <f t="shared" si="0"/>
        <v>	('032', 'F03', 0, NULL, -6),</v>
      </c>
      <c r="M66" t="s">
        <v>8</v>
      </c>
    </row>
    <row r="67" spans="7:13">
      <c r="G67" s="10" t="s">
        <v>97</v>
      </c>
      <c r="H67" s="10" t="s">
        <v>93</v>
      </c>
      <c r="I67" s="12">
        <v>0</v>
      </c>
      <c r="J67" s="12" t="s">
        <v>13</v>
      </c>
      <c r="K67" s="12">
        <v>0</v>
      </c>
      <c r="L67" t="str">
        <f t="shared" ref="L67:L130" si="1">CHAR(9)&amp;"('"&amp;G67&amp;"', '"&amp;H67&amp;"', "&amp;I67&amp;", "&amp;J67&amp;", "&amp;K67&amp;"),"</f>
        <v>	('033', 'F01', 0, NULL, 0),</v>
      </c>
      <c r="M67" t="s">
        <v>8</v>
      </c>
    </row>
    <row r="68" spans="7:13">
      <c r="G68" s="10" t="s">
        <v>97</v>
      </c>
      <c r="H68" s="10" t="s">
        <v>98</v>
      </c>
      <c r="I68" s="12">
        <v>0</v>
      </c>
      <c r="J68" s="12" t="s">
        <v>13</v>
      </c>
      <c r="K68" s="12">
        <v>-3</v>
      </c>
      <c r="L68" t="str">
        <f t="shared" si="1"/>
        <v>	('033', 'F04', 0, NULL, -3),</v>
      </c>
      <c r="M68" t="s">
        <v>8</v>
      </c>
    </row>
    <row r="69" spans="7:13">
      <c r="G69" s="10" t="s">
        <v>99</v>
      </c>
      <c r="H69" s="10" t="s">
        <v>94</v>
      </c>
      <c r="I69" s="12">
        <v>0</v>
      </c>
      <c r="J69" s="12" t="s">
        <v>13</v>
      </c>
      <c r="K69" s="12">
        <v>0</v>
      </c>
      <c r="L69" t="str">
        <f t="shared" si="1"/>
        <v>	('034', 'F02', 0, NULL, 0),</v>
      </c>
      <c r="M69" t="s">
        <v>8</v>
      </c>
    </row>
    <row r="70" spans="7:13">
      <c r="G70" s="10" t="s">
        <v>99</v>
      </c>
      <c r="H70" s="10" t="s">
        <v>96</v>
      </c>
      <c r="I70" s="12">
        <v>0</v>
      </c>
      <c r="J70" s="12" t="s">
        <v>13</v>
      </c>
      <c r="K70" s="12">
        <v>0</v>
      </c>
      <c r="L70" t="str">
        <f t="shared" si="1"/>
        <v>	('034', 'F03', 0, NULL, 0),</v>
      </c>
      <c r="M70" t="s">
        <v>8</v>
      </c>
    </row>
    <row r="71" spans="7:13">
      <c r="G71" s="10" t="s">
        <v>100</v>
      </c>
      <c r="H71" s="10" t="s">
        <v>94</v>
      </c>
      <c r="I71" s="12">
        <v>0</v>
      </c>
      <c r="J71" s="12" t="s">
        <v>13</v>
      </c>
      <c r="K71" s="12">
        <v>-1</v>
      </c>
      <c r="L71" t="str">
        <f t="shared" si="1"/>
        <v>	('035', 'F02', 0, NULL, -1),</v>
      </c>
      <c r="M71" t="s">
        <v>8</v>
      </c>
    </row>
    <row r="72" spans="7:13">
      <c r="G72" s="10" t="s">
        <v>100</v>
      </c>
      <c r="H72" s="10" t="s">
        <v>98</v>
      </c>
      <c r="I72" s="12">
        <v>0</v>
      </c>
      <c r="J72" s="12" t="s">
        <v>13</v>
      </c>
      <c r="K72" s="12">
        <v>-5</v>
      </c>
      <c r="L72" t="str">
        <f t="shared" si="1"/>
        <v>	('035', 'F04', 0, NULL, -5),</v>
      </c>
      <c r="M72" t="s">
        <v>8</v>
      </c>
    </row>
    <row r="73" spans="7:13">
      <c r="G73" s="10" t="s">
        <v>101</v>
      </c>
      <c r="H73" s="10" t="s">
        <v>96</v>
      </c>
      <c r="I73" s="12">
        <v>0</v>
      </c>
      <c r="J73" s="12" t="s">
        <v>13</v>
      </c>
      <c r="K73" s="12">
        <v>0</v>
      </c>
      <c r="L73" t="str">
        <f t="shared" si="1"/>
        <v>	('036', 'F03', 0, NULL, 0),</v>
      </c>
      <c r="M73" t="s">
        <v>8</v>
      </c>
    </row>
    <row r="74" spans="7:13">
      <c r="G74" s="10" t="s">
        <v>101</v>
      </c>
      <c r="H74" s="10" t="s">
        <v>98</v>
      </c>
      <c r="I74" s="12">
        <v>0</v>
      </c>
      <c r="J74" s="12" t="s">
        <v>13</v>
      </c>
      <c r="K74" s="12">
        <v>0</v>
      </c>
      <c r="L74" t="str">
        <f t="shared" si="1"/>
        <v>	('036', 'F04', 0, NULL, 0),</v>
      </c>
      <c r="M74" t="s">
        <v>8</v>
      </c>
    </row>
    <row r="75" spans="7:13">
      <c r="G75" s="10" t="s">
        <v>102</v>
      </c>
      <c r="H75" s="10" t="s">
        <v>103</v>
      </c>
      <c r="I75" s="12">
        <v>0</v>
      </c>
      <c r="J75" s="12" t="s">
        <v>13</v>
      </c>
      <c r="K75" s="12">
        <v>0</v>
      </c>
      <c r="L75" t="str">
        <f t="shared" si="1"/>
        <v>	('037', 'G01', 0, NULL, 0),</v>
      </c>
      <c r="M75" t="s">
        <v>8</v>
      </c>
    </row>
    <row r="76" spans="7:13">
      <c r="G76" s="10" t="s">
        <v>102</v>
      </c>
      <c r="H76" s="10" t="s">
        <v>104</v>
      </c>
      <c r="I76" s="12">
        <v>0</v>
      </c>
      <c r="J76" s="12" t="s">
        <v>13</v>
      </c>
      <c r="K76" s="12">
        <v>-2</v>
      </c>
      <c r="L76" t="str">
        <f t="shared" si="1"/>
        <v>	('037', 'G02', 0, NULL, -2),</v>
      </c>
      <c r="M76" t="s">
        <v>8</v>
      </c>
    </row>
    <row r="77" spans="7:13">
      <c r="G77" s="10" t="s">
        <v>105</v>
      </c>
      <c r="H77" s="10" t="s">
        <v>103</v>
      </c>
      <c r="I77" s="12">
        <v>0</v>
      </c>
      <c r="J77" s="12" t="s">
        <v>13</v>
      </c>
      <c r="K77" s="12">
        <v>-5</v>
      </c>
      <c r="L77" t="str">
        <f t="shared" si="1"/>
        <v>	('038', 'G01', 0, NULL, -5),</v>
      </c>
      <c r="M77" t="s">
        <v>8</v>
      </c>
    </row>
    <row r="78" spans="7:13">
      <c r="G78" s="10" t="s">
        <v>105</v>
      </c>
      <c r="H78" s="10" t="s">
        <v>106</v>
      </c>
      <c r="I78" s="12">
        <v>0</v>
      </c>
      <c r="J78" s="12" t="s">
        <v>13</v>
      </c>
      <c r="K78" s="12">
        <v>-1</v>
      </c>
      <c r="L78" t="str">
        <f t="shared" si="1"/>
        <v>	('038', 'G03', 0, NULL, -1),</v>
      </c>
      <c r="M78" t="s">
        <v>8</v>
      </c>
    </row>
    <row r="79" spans="7:13">
      <c r="G79" s="10" t="s">
        <v>107</v>
      </c>
      <c r="H79" s="10" t="s">
        <v>103</v>
      </c>
      <c r="I79" s="12">
        <v>0</v>
      </c>
      <c r="J79" s="12" t="s">
        <v>13</v>
      </c>
      <c r="K79" s="12">
        <v>-2</v>
      </c>
      <c r="L79" t="str">
        <f t="shared" si="1"/>
        <v>	('039', 'G01', 0, NULL, -2),</v>
      </c>
      <c r="M79" t="s">
        <v>8</v>
      </c>
    </row>
    <row r="80" spans="7:13">
      <c r="G80" s="10" t="s">
        <v>107</v>
      </c>
      <c r="H80" s="10" t="s">
        <v>108</v>
      </c>
      <c r="I80" s="12">
        <v>0</v>
      </c>
      <c r="J80" s="12" t="s">
        <v>13</v>
      </c>
      <c r="K80" s="12">
        <v>-2</v>
      </c>
      <c r="L80" t="str">
        <f t="shared" si="1"/>
        <v>	('039', 'G04', 0, NULL, -2),</v>
      </c>
      <c r="M80" t="s">
        <v>8</v>
      </c>
    </row>
    <row r="81" spans="7:13">
      <c r="G81" s="10" t="s">
        <v>109</v>
      </c>
      <c r="H81" s="10" t="s">
        <v>104</v>
      </c>
      <c r="I81" s="12">
        <v>0</v>
      </c>
      <c r="J81" s="12" t="s">
        <v>13</v>
      </c>
      <c r="K81" s="12">
        <v>-2</v>
      </c>
      <c r="L81" t="str">
        <f t="shared" si="1"/>
        <v>	('040', 'G02', 0, NULL, -2),</v>
      </c>
      <c r="M81" t="s">
        <v>8</v>
      </c>
    </row>
    <row r="82" spans="7:13">
      <c r="G82" s="10" t="s">
        <v>109</v>
      </c>
      <c r="H82" s="10" t="s">
        <v>106</v>
      </c>
      <c r="I82" s="12">
        <v>0</v>
      </c>
      <c r="J82" s="12" t="s">
        <v>13</v>
      </c>
      <c r="K82" s="12">
        <v>-1</v>
      </c>
      <c r="L82" t="str">
        <f t="shared" si="1"/>
        <v>	('040', 'G03', 0, NULL, -1),</v>
      </c>
      <c r="M82" t="s">
        <v>8</v>
      </c>
    </row>
    <row r="83" spans="7:13">
      <c r="G83" s="10" t="s">
        <v>110</v>
      </c>
      <c r="H83" s="10" t="s">
        <v>104</v>
      </c>
      <c r="I83" s="12">
        <v>0</v>
      </c>
      <c r="J83" s="12" t="s">
        <v>13</v>
      </c>
      <c r="K83" s="12">
        <v>-2</v>
      </c>
      <c r="L83" t="str">
        <f t="shared" si="1"/>
        <v>	('041', 'G02', 0, NULL, -2),</v>
      </c>
      <c r="M83" t="s">
        <v>8</v>
      </c>
    </row>
    <row r="84" spans="7:13">
      <c r="G84" s="10" t="s">
        <v>110</v>
      </c>
      <c r="H84" s="10" t="s">
        <v>108</v>
      </c>
      <c r="I84" s="12">
        <v>0</v>
      </c>
      <c r="J84" s="12" t="s">
        <v>13</v>
      </c>
      <c r="K84" s="12">
        <v>-2</v>
      </c>
      <c r="L84" t="str">
        <f t="shared" si="1"/>
        <v>	('041', 'G04', 0, NULL, -2),</v>
      </c>
      <c r="M84" t="s">
        <v>8</v>
      </c>
    </row>
    <row r="85" spans="7:13">
      <c r="G85" s="10" t="s">
        <v>111</v>
      </c>
      <c r="H85" s="10" t="s">
        <v>106</v>
      </c>
      <c r="I85" s="12">
        <v>0</v>
      </c>
      <c r="J85" s="12" t="s">
        <v>13</v>
      </c>
      <c r="K85" s="12">
        <v>0</v>
      </c>
      <c r="L85" t="str">
        <f t="shared" si="1"/>
        <v>	('042', 'G03', 0, NULL, 0),</v>
      </c>
      <c r="M85" t="s">
        <v>8</v>
      </c>
    </row>
    <row r="86" spans="7:13">
      <c r="G86" s="10" t="s">
        <v>111</v>
      </c>
      <c r="H86" s="10" t="s">
        <v>108</v>
      </c>
      <c r="I86" s="12">
        <v>0</v>
      </c>
      <c r="J86" s="12" t="s">
        <v>13</v>
      </c>
      <c r="K86" s="12">
        <v>-1</v>
      </c>
      <c r="L86" t="str">
        <f t="shared" si="1"/>
        <v>	('042', 'G04', 0, NULL, -1),</v>
      </c>
      <c r="M86" t="s">
        <v>8</v>
      </c>
    </row>
    <row r="87" spans="7:13">
      <c r="G87" s="10" t="s">
        <v>112</v>
      </c>
      <c r="H87" s="10" t="s">
        <v>113</v>
      </c>
      <c r="I87" s="12">
        <v>0</v>
      </c>
      <c r="J87" s="12" t="s">
        <v>13</v>
      </c>
      <c r="K87" s="12">
        <v>0</v>
      </c>
      <c r="L87" t="str">
        <f t="shared" si="1"/>
        <v>	('043', 'H01', 0, NULL, 0),</v>
      </c>
      <c r="M87" t="s">
        <v>8</v>
      </c>
    </row>
    <row r="88" spans="7:13">
      <c r="G88" s="10" t="s">
        <v>112</v>
      </c>
      <c r="H88" s="10" t="s">
        <v>114</v>
      </c>
      <c r="I88" s="12">
        <v>0</v>
      </c>
      <c r="J88" s="12" t="s">
        <v>13</v>
      </c>
      <c r="K88" s="12">
        <v>0</v>
      </c>
      <c r="L88" t="str">
        <f t="shared" si="1"/>
        <v>	('043', 'H02', 0, NULL, 0),</v>
      </c>
      <c r="M88" t="s">
        <v>8</v>
      </c>
    </row>
    <row r="89" spans="7:13">
      <c r="G89" s="10" t="s">
        <v>115</v>
      </c>
      <c r="H89" s="10" t="s">
        <v>113</v>
      </c>
      <c r="I89" s="12">
        <v>0</v>
      </c>
      <c r="J89" s="12" t="s">
        <v>13</v>
      </c>
      <c r="K89" s="12">
        <v>-1</v>
      </c>
      <c r="L89" t="str">
        <f t="shared" si="1"/>
        <v>	('044', 'H01', 0, NULL, -1),</v>
      </c>
      <c r="M89" t="s">
        <v>8</v>
      </c>
    </row>
    <row r="90" spans="7:13">
      <c r="G90" s="10" t="s">
        <v>115</v>
      </c>
      <c r="H90" s="10" t="s">
        <v>116</v>
      </c>
      <c r="I90" s="12">
        <v>0</v>
      </c>
      <c r="J90" s="12" t="s">
        <v>13</v>
      </c>
      <c r="K90" s="12">
        <v>-1</v>
      </c>
      <c r="L90" t="str">
        <f t="shared" si="1"/>
        <v>	('044', 'H03', 0, NULL, -1),</v>
      </c>
      <c r="M90" t="s">
        <v>8</v>
      </c>
    </row>
    <row r="91" spans="7:13">
      <c r="G91" s="10" t="s">
        <v>117</v>
      </c>
      <c r="H91" s="10" t="s">
        <v>113</v>
      </c>
      <c r="I91" s="12">
        <v>0</v>
      </c>
      <c r="J91" s="12" t="s">
        <v>13</v>
      </c>
      <c r="K91" s="12">
        <v>-1</v>
      </c>
      <c r="L91" t="str">
        <f t="shared" si="1"/>
        <v>	('045', 'H01', 0, NULL, -1),</v>
      </c>
      <c r="M91" t="s">
        <v>8</v>
      </c>
    </row>
    <row r="92" spans="7:13">
      <c r="G92" s="10" t="s">
        <v>117</v>
      </c>
      <c r="H92" s="10" t="s">
        <v>118</v>
      </c>
      <c r="I92" s="12">
        <v>0</v>
      </c>
      <c r="J92" s="12" t="s">
        <v>13</v>
      </c>
      <c r="K92" s="12">
        <v>-1</v>
      </c>
      <c r="L92" t="str">
        <f t="shared" si="1"/>
        <v>	('045', 'H04', 0, NULL, -1),</v>
      </c>
      <c r="M92" t="s">
        <v>8</v>
      </c>
    </row>
    <row r="93" spans="7:13">
      <c r="G93" s="10" t="s">
        <v>119</v>
      </c>
      <c r="H93" s="10" t="s">
        <v>114</v>
      </c>
      <c r="I93" s="12">
        <v>0</v>
      </c>
      <c r="J93" s="12" t="s">
        <v>13</v>
      </c>
      <c r="K93" s="12">
        <v>-1</v>
      </c>
      <c r="L93" t="str">
        <f t="shared" si="1"/>
        <v>	('046', 'H02', 0, NULL, -1),</v>
      </c>
      <c r="M93" t="s">
        <v>8</v>
      </c>
    </row>
    <row r="94" spans="7:13">
      <c r="G94" s="10" t="s">
        <v>119</v>
      </c>
      <c r="H94" s="10" t="s">
        <v>116</v>
      </c>
      <c r="I94" s="12">
        <v>0</v>
      </c>
      <c r="J94" s="12" t="s">
        <v>13</v>
      </c>
      <c r="K94" s="12">
        <v>-1</v>
      </c>
      <c r="L94" t="str">
        <f t="shared" si="1"/>
        <v>	('046', 'H03', 0, NULL, -1),</v>
      </c>
      <c r="M94" t="s">
        <v>8</v>
      </c>
    </row>
    <row r="95" spans="7:13">
      <c r="G95" s="10" t="s">
        <v>120</v>
      </c>
      <c r="H95" s="10" t="s">
        <v>114</v>
      </c>
      <c r="I95" s="12">
        <v>0</v>
      </c>
      <c r="J95" s="12" t="s">
        <v>13</v>
      </c>
      <c r="K95" s="12">
        <v>-1</v>
      </c>
      <c r="L95" t="str">
        <f t="shared" si="1"/>
        <v>	('047', 'H02', 0, NULL, -1),</v>
      </c>
      <c r="M95" t="s">
        <v>8</v>
      </c>
    </row>
    <row r="96" spans="7:13">
      <c r="G96" s="10" t="s">
        <v>120</v>
      </c>
      <c r="H96" s="10" t="s">
        <v>118</v>
      </c>
      <c r="I96" s="12">
        <v>0</v>
      </c>
      <c r="J96" s="12" t="s">
        <v>13</v>
      </c>
      <c r="K96" s="12">
        <v>-1</v>
      </c>
      <c r="L96" t="str">
        <f t="shared" si="1"/>
        <v>	('047', 'H04', 0, NULL, -1),</v>
      </c>
      <c r="M96" t="s">
        <v>8</v>
      </c>
    </row>
    <row r="97" spans="7:13">
      <c r="G97" s="10" t="s">
        <v>121</v>
      </c>
      <c r="H97" s="10" t="s">
        <v>116</v>
      </c>
      <c r="I97" s="12">
        <v>0</v>
      </c>
      <c r="J97" s="12" t="s">
        <v>13</v>
      </c>
      <c r="K97" s="12">
        <v>-2</v>
      </c>
      <c r="L97" t="str">
        <f t="shared" si="1"/>
        <v>	('048', 'H03', 0, NULL, -2),</v>
      </c>
      <c r="M97" t="s">
        <v>8</v>
      </c>
    </row>
    <row r="98" spans="7:13">
      <c r="G98" s="10" t="s">
        <v>121</v>
      </c>
      <c r="H98" s="10" t="s">
        <v>118</v>
      </c>
      <c r="I98" s="12">
        <v>0</v>
      </c>
      <c r="J98" s="12" t="s">
        <v>13</v>
      </c>
      <c r="K98" s="12">
        <v>-1</v>
      </c>
      <c r="L98" t="str">
        <f t="shared" si="1"/>
        <v>	('048', 'H04', 0, NULL, -1),</v>
      </c>
      <c r="M98" t="s">
        <v>8</v>
      </c>
    </row>
    <row r="99" spans="7:13">
      <c r="G99" s="10" t="s">
        <v>122</v>
      </c>
      <c r="H99" s="10" t="s">
        <v>123</v>
      </c>
      <c r="I99" s="12">
        <v>0</v>
      </c>
      <c r="J99" s="12" t="s">
        <v>13</v>
      </c>
      <c r="K99" s="12">
        <v>-1</v>
      </c>
      <c r="L99" t="str">
        <f t="shared" si="1"/>
        <v>	('049', 'I01', 0, NULL, -1),</v>
      </c>
      <c r="M99" t="s">
        <v>8</v>
      </c>
    </row>
    <row r="100" spans="7:13">
      <c r="G100" s="10" t="s">
        <v>122</v>
      </c>
      <c r="H100" s="10" t="s">
        <v>124</v>
      </c>
      <c r="I100" s="12">
        <v>0</v>
      </c>
      <c r="J100" s="12" t="s">
        <v>13</v>
      </c>
      <c r="K100" s="12">
        <v>-2</v>
      </c>
      <c r="L100" t="str">
        <f t="shared" si="1"/>
        <v>	('049', 'I02', 0, NULL, -2),</v>
      </c>
      <c r="M100" t="s">
        <v>8</v>
      </c>
    </row>
    <row r="101" spans="7:13">
      <c r="G101" s="10" t="s">
        <v>125</v>
      </c>
      <c r="H101" s="10" t="s">
        <v>123</v>
      </c>
      <c r="I101" s="12">
        <v>0</v>
      </c>
      <c r="J101" s="12" t="s">
        <v>13</v>
      </c>
      <c r="K101" s="12">
        <v>-1</v>
      </c>
      <c r="L101" t="str">
        <f t="shared" si="1"/>
        <v>	('050', 'I01', 0, NULL, -1),</v>
      </c>
      <c r="M101" t="s">
        <v>8</v>
      </c>
    </row>
    <row r="102" spans="7:13">
      <c r="G102" s="10" t="s">
        <v>125</v>
      </c>
      <c r="H102" s="10" t="s">
        <v>126</v>
      </c>
      <c r="I102" s="12">
        <v>0</v>
      </c>
      <c r="J102" s="12" t="s">
        <v>13</v>
      </c>
      <c r="K102" s="12">
        <v>-1</v>
      </c>
      <c r="L102" t="str">
        <f t="shared" si="1"/>
        <v>	('050', 'I03', 0, NULL, -1),</v>
      </c>
      <c r="M102" t="s">
        <v>8</v>
      </c>
    </row>
    <row r="103" spans="7:13">
      <c r="G103" s="10" t="s">
        <v>127</v>
      </c>
      <c r="H103" s="10" t="s">
        <v>123</v>
      </c>
      <c r="I103" s="12">
        <v>0</v>
      </c>
      <c r="J103" s="12" t="s">
        <v>13</v>
      </c>
      <c r="K103" s="12">
        <v>-1</v>
      </c>
      <c r="L103" t="str">
        <f t="shared" si="1"/>
        <v>	('051', 'I01', 0, NULL, -1),</v>
      </c>
      <c r="M103" t="s">
        <v>8</v>
      </c>
    </row>
    <row r="104" spans="7:13">
      <c r="G104" s="10" t="s">
        <v>127</v>
      </c>
      <c r="H104" s="10" t="s">
        <v>128</v>
      </c>
      <c r="I104" s="12">
        <v>0</v>
      </c>
      <c r="J104" s="12" t="s">
        <v>13</v>
      </c>
      <c r="K104" s="12">
        <v>-2</v>
      </c>
      <c r="L104" t="str">
        <f t="shared" si="1"/>
        <v>	('051', 'I04', 0, NULL, -2),</v>
      </c>
      <c r="M104" t="s">
        <v>8</v>
      </c>
    </row>
    <row r="105" spans="7:13">
      <c r="G105" s="10" t="s">
        <v>129</v>
      </c>
      <c r="H105" s="10" t="s">
        <v>124</v>
      </c>
      <c r="I105" s="12">
        <v>0</v>
      </c>
      <c r="J105" s="12" t="s">
        <v>13</v>
      </c>
      <c r="K105" s="12">
        <v>0</v>
      </c>
      <c r="L105" t="str">
        <f t="shared" si="1"/>
        <v>	('052', 'I02', 0, NULL, 0),</v>
      </c>
      <c r="M105" t="s">
        <v>8</v>
      </c>
    </row>
    <row r="106" spans="7:13">
      <c r="G106" s="10" t="s">
        <v>129</v>
      </c>
      <c r="H106" s="10" t="s">
        <v>126</v>
      </c>
      <c r="I106" s="12">
        <v>0</v>
      </c>
      <c r="J106" s="12" t="s">
        <v>13</v>
      </c>
      <c r="K106" s="12">
        <v>-3</v>
      </c>
      <c r="L106" t="str">
        <f t="shared" si="1"/>
        <v>	('052', 'I03', 0, NULL, -3),</v>
      </c>
      <c r="M106" t="s">
        <v>8</v>
      </c>
    </row>
    <row r="107" spans="7:13">
      <c r="G107" s="10" t="s">
        <v>130</v>
      </c>
      <c r="H107" s="10" t="s">
        <v>124</v>
      </c>
      <c r="I107" s="12">
        <v>0</v>
      </c>
      <c r="J107" s="12" t="s">
        <v>13</v>
      </c>
      <c r="K107" s="12">
        <v>0</v>
      </c>
      <c r="L107" t="str">
        <f t="shared" si="1"/>
        <v>	('053', 'I02', 0, NULL, 0),</v>
      </c>
      <c r="M107" t="s">
        <v>8</v>
      </c>
    </row>
    <row r="108" spans="7:13">
      <c r="G108" s="10" t="s">
        <v>130</v>
      </c>
      <c r="H108" s="10" t="s">
        <v>128</v>
      </c>
      <c r="I108" s="12">
        <v>0</v>
      </c>
      <c r="J108" s="12" t="s">
        <v>13</v>
      </c>
      <c r="K108" s="12">
        <v>-1</v>
      </c>
      <c r="L108" t="str">
        <f t="shared" si="1"/>
        <v>	('053', 'I04', 0, NULL, -1),</v>
      </c>
      <c r="M108" t="s">
        <v>8</v>
      </c>
    </row>
    <row r="109" spans="7:13">
      <c r="G109" s="10" t="s">
        <v>131</v>
      </c>
      <c r="H109" s="10" t="s">
        <v>126</v>
      </c>
      <c r="I109" s="12">
        <v>0</v>
      </c>
      <c r="J109" s="12" t="s">
        <v>13</v>
      </c>
      <c r="K109" s="12">
        <v>-1</v>
      </c>
      <c r="L109" t="str">
        <f t="shared" si="1"/>
        <v>	('054', 'I03', 0, NULL, -1),</v>
      </c>
      <c r="M109" t="s">
        <v>8</v>
      </c>
    </row>
    <row r="110" spans="7:13">
      <c r="G110" s="10" t="s">
        <v>131</v>
      </c>
      <c r="H110" s="10" t="s">
        <v>128</v>
      </c>
      <c r="I110" s="12">
        <v>0</v>
      </c>
      <c r="J110" s="12" t="s">
        <v>13</v>
      </c>
      <c r="K110" s="12">
        <v>-1</v>
      </c>
      <c r="L110" t="str">
        <f t="shared" si="1"/>
        <v>	('054', 'I04', 0, NULL, -1),</v>
      </c>
      <c r="M110" t="s">
        <v>8</v>
      </c>
    </row>
    <row r="111" spans="7:13">
      <c r="G111" s="10" t="s">
        <v>132</v>
      </c>
      <c r="H111" s="10" t="s">
        <v>133</v>
      </c>
      <c r="I111" s="12">
        <v>0</v>
      </c>
      <c r="J111" s="12" t="s">
        <v>13</v>
      </c>
      <c r="K111" s="12">
        <v>-2</v>
      </c>
      <c r="L111" t="str">
        <f t="shared" si="1"/>
        <v>	('055', 'J01', 0, NULL, -2),</v>
      </c>
      <c r="M111" t="s">
        <v>8</v>
      </c>
    </row>
    <row r="112" spans="7:13">
      <c r="G112" s="10" t="s">
        <v>132</v>
      </c>
      <c r="H112" s="10" t="s">
        <v>134</v>
      </c>
      <c r="I112" s="12">
        <v>0</v>
      </c>
      <c r="J112" s="12" t="s">
        <v>13</v>
      </c>
      <c r="K112" s="12">
        <v>-1</v>
      </c>
      <c r="L112" t="str">
        <f t="shared" si="1"/>
        <v>	('055', 'J02', 0, NULL, -1),</v>
      </c>
      <c r="M112" t="s">
        <v>8</v>
      </c>
    </row>
    <row r="113" spans="7:13">
      <c r="G113" s="10" t="s">
        <v>135</v>
      </c>
      <c r="H113" s="10" t="s">
        <v>133</v>
      </c>
      <c r="I113" s="12">
        <v>0</v>
      </c>
      <c r="J113" s="12" t="s">
        <v>13</v>
      </c>
      <c r="K113" s="12">
        <v>-3</v>
      </c>
      <c r="L113" t="str">
        <f t="shared" si="1"/>
        <v>	('056', 'J01', 0, NULL, -3),</v>
      </c>
      <c r="M113" t="s">
        <v>8</v>
      </c>
    </row>
    <row r="114" spans="7:13">
      <c r="G114" s="10" t="s">
        <v>135</v>
      </c>
      <c r="H114" s="10" t="s">
        <v>136</v>
      </c>
      <c r="I114" s="12">
        <v>0</v>
      </c>
      <c r="J114" s="12" t="s">
        <v>13</v>
      </c>
      <c r="K114" s="12">
        <v>-1</v>
      </c>
      <c r="L114" t="str">
        <f t="shared" si="1"/>
        <v>	('056', 'J03', 0, NULL, -1),</v>
      </c>
      <c r="M114" t="s">
        <v>8</v>
      </c>
    </row>
    <row r="115" spans="7:13">
      <c r="G115" s="10" t="s">
        <v>137</v>
      </c>
      <c r="H115" s="10" t="s">
        <v>133</v>
      </c>
      <c r="I115" s="12">
        <v>0</v>
      </c>
      <c r="J115" s="12" t="s">
        <v>13</v>
      </c>
      <c r="K115" s="12">
        <v>-1</v>
      </c>
      <c r="L115" t="str">
        <f t="shared" si="1"/>
        <v>	('057', 'J01', 0, NULL, -1),</v>
      </c>
      <c r="M115" t="s">
        <v>8</v>
      </c>
    </row>
    <row r="116" spans="7:13">
      <c r="G116" s="10" t="s">
        <v>137</v>
      </c>
      <c r="H116" s="10" t="s">
        <v>138</v>
      </c>
      <c r="I116" s="12">
        <v>0</v>
      </c>
      <c r="J116" s="12" t="s">
        <v>13</v>
      </c>
      <c r="K116" s="12">
        <v>-2</v>
      </c>
      <c r="L116" t="str">
        <f t="shared" si="1"/>
        <v>	('057', 'J04', 0, NULL, -2),</v>
      </c>
      <c r="M116" t="s">
        <v>8</v>
      </c>
    </row>
    <row r="117" spans="7:13">
      <c r="G117" s="10" t="s">
        <v>139</v>
      </c>
      <c r="H117" s="10" t="s">
        <v>134</v>
      </c>
      <c r="I117" s="12">
        <v>0</v>
      </c>
      <c r="J117" s="12" t="s">
        <v>13</v>
      </c>
      <c r="K117" s="12">
        <v>0</v>
      </c>
      <c r="L117" t="str">
        <f t="shared" si="1"/>
        <v>	('058', 'J02', 0, NULL, 0),</v>
      </c>
      <c r="M117" t="s">
        <v>8</v>
      </c>
    </row>
    <row r="118" spans="7:13">
      <c r="G118" s="10" t="s">
        <v>139</v>
      </c>
      <c r="H118" s="10" t="s">
        <v>136</v>
      </c>
      <c r="I118" s="12">
        <v>0</v>
      </c>
      <c r="J118" s="12" t="s">
        <v>13</v>
      </c>
      <c r="K118" s="12">
        <v>0</v>
      </c>
      <c r="L118" t="str">
        <f t="shared" si="1"/>
        <v>	('058', 'J03', 0, NULL, 0),</v>
      </c>
      <c r="M118" t="s">
        <v>8</v>
      </c>
    </row>
    <row r="119" spans="7:13">
      <c r="G119" s="10" t="s">
        <v>140</v>
      </c>
      <c r="H119" s="10" t="s">
        <v>134</v>
      </c>
      <c r="I119" s="12">
        <v>0</v>
      </c>
      <c r="J119" s="12" t="s">
        <v>13</v>
      </c>
      <c r="K119" s="12">
        <v>0</v>
      </c>
      <c r="L119" t="str">
        <f t="shared" si="1"/>
        <v>	('059', 'J02', 0, NULL, 0),</v>
      </c>
      <c r="M119" t="s">
        <v>8</v>
      </c>
    </row>
    <row r="120" spans="7:13">
      <c r="G120" s="10" t="s">
        <v>140</v>
      </c>
      <c r="H120" s="10" t="s">
        <v>138</v>
      </c>
      <c r="I120" s="12">
        <v>0</v>
      </c>
      <c r="J120" s="12" t="s">
        <v>13</v>
      </c>
      <c r="K120" s="12">
        <v>-1</v>
      </c>
      <c r="L120" t="str">
        <f t="shared" si="1"/>
        <v>	('059', 'J04', 0, NULL, -1),</v>
      </c>
      <c r="M120" t="s">
        <v>8</v>
      </c>
    </row>
    <row r="121" spans="7:13">
      <c r="G121" s="10" t="s">
        <v>141</v>
      </c>
      <c r="H121" s="10" t="s">
        <v>136</v>
      </c>
      <c r="I121" s="12">
        <v>0</v>
      </c>
      <c r="J121" s="12" t="s">
        <v>13</v>
      </c>
      <c r="K121" s="12">
        <v>-1</v>
      </c>
      <c r="L121" t="str">
        <f t="shared" si="1"/>
        <v>	('060', 'J03', 0, NULL, -1),</v>
      </c>
      <c r="M121" t="s">
        <v>8</v>
      </c>
    </row>
    <row r="122" spans="7:13">
      <c r="G122" s="10" t="s">
        <v>141</v>
      </c>
      <c r="H122" s="10" t="s">
        <v>138</v>
      </c>
      <c r="I122" s="12">
        <v>0</v>
      </c>
      <c r="J122" s="12" t="s">
        <v>13</v>
      </c>
      <c r="K122" s="12">
        <v>-1</v>
      </c>
      <c r="L122" t="str">
        <f t="shared" si="1"/>
        <v>	('060', 'J04', 0, NULL, -1),</v>
      </c>
      <c r="M122" t="s">
        <v>8</v>
      </c>
    </row>
    <row r="123" spans="7:13">
      <c r="G123" s="10" t="s">
        <v>142</v>
      </c>
      <c r="H123" s="10" t="s">
        <v>143</v>
      </c>
      <c r="I123" s="12">
        <v>0</v>
      </c>
      <c r="J123" s="12" t="s">
        <v>13</v>
      </c>
      <c r="K123" s="12">
        <v>-1</v>
      </c>
      <c r="L123" t="str">
        <f t="shared" si="1"/>
        <v>	('061', 'K01', 0, NULL, -1),</v>
      </c>
      <c r="M123" t="s">
        <v>8</v>
      </c>
    </row>
    <row r="124" spans="7:13">
      <c r="G124" s="10" t="s">
        <v>142</v>
      </c>
      <c r="H124" s="10" t="s">
        <v>144</v>
      </c>
      <c r="I124" s="12">
        <v>0</v>
      </c>
      <c r="J124" s="12" t="s">
        <v>13</v>
      </c>
      <c r="K124" s="12">
        <v>-1</v>
      </c>
      <c r="L124" t="str">
        <f t="shared" si="1"/>
        <v>	('061', 'K02', 0, NULL, -1),</v>
      </c>
      <c r="M124" t="s">
        <v>8</v>
      </c>
    </row>
    <row r="125" spans="7:13">
      <c r="G125" s="10" t="s">
        <v>145</v>
      </c>
      <c r="H125" s="10" t="s">
        <v>143</v>
      </c>
      <c r="I125" s="12">
        <v>0</v>
      </c>
      <c r="J125" s="12" t="s">
        <v>13</v>
      </c>
      <c r="K125" s="12">
        <v>-2</v>
      </c>
      <c r="L125" t="str">
        <f t="shared" si="1"/>
        <v>	('062', 'K01', 0, NULL, -2),</v>
      </c>
      <c r="M125" t="s">
        <v>8</v>
      </c>
    </row>
    <row r="126" spans="7:13">
      <c r="G126" s="10" t="s">
        <v>145</v>
      </c>
      <c r="H126" s="10" t="s">
        <v>146</v>
      </c>
      <c r="I126" s="12">
        <v>0</v>
      </c>
      <c r="J126" s="12" t="s">
        <v>13</v>
      </c>
      <c r="K126" s="12">
        <v>-6</v>
      </c>
      <c r="L126" t="str">
        <f t="shared" si="1"/>
        <v>	('062', 'K03', 0, NULL, -6),</v>
      </c>
      <c r="M126" t="s">
        <v>8</v>
      </c>
    </row>
    <row r="127" spans="7:13">
      <c r="G127" s="10" t="s">
        <v>147</v>
      </c>
      <c r="H127" s="10" t="s">
        <v>143</v>
      </c>
      <c r="I127" s="12">
        <v>0</v>
      </c>
      <c r="J127" s="12" t="s">
        <v>13</v>
      </c>
      <c r="K127" s="12">
        <v>-1</v>
      </c>
      <c r="L127" t="str">
        <f t="shared" si="1"/>
        <v>	('063', 'K01', 0, NULL, -1),</v>
      </c>
      <c r="M127" t="s">
        <v>8</v>
      </c>
    </row>
    <row r="128" spans="7:13">
      <c r="G128" s="10" t="s">
        <v>147</v>
      </c>
      <c r="H128" s="10" t="s">
        <v>148</v>
      </c>
      <c r="I128" s="12">
        <v>0</v>
      </c>
      <c r="J128" s="12" t="s">
        <v>13</v>
      </c>
      <c r="K128" s="12">
        <v>-3</v>
      </c>
      <c r="L128" t="str">
        <f t="shared" si="1"/>
        <v>	('063', 'K04', 0, NULL, -3),</v>
      </c>
      <c r="M128" t="s">
        <v>8</v>
      </c>
    </row>
    <row r="129" spans="7:13">
      <c r="G129" s="10" t="s">
        <v>149</v>
      </c>
      <c r="H129" s="10" t="s">
        <v>144</v>
      </c>
      <c r="I129" s="12">
        <v>0</v>
      </c>
      <c r="J129" s="12" t="s">
        <v>13</v>
      </c>
      <c r="K129" s="12">
        <v>-7</v>
      </c>
      <c r="L129" t="str">
        <f t="shared" si="1"/>
        <v>	('064', 'K02', 0, NULL, -7),</v>
      </c>
      <c r="M129" t="s">
        <v>8</v>
      </c>
    </row>
    <row r="130" spans="7:13">
      <c r="G130" s="10" t="s">
        <v>149</v>
      </c>
      <c r="H130" s="10" t="s">
        <v>146</v>
      </c>
      <c r="I130" s="12">
        <v>0</v>
      </c>
      <c r="J130" s="12" t="s">
        <v>13</v>
      </c>
      <c r="K130" s="12">
        <v>-1</v>
      </c>
      <c r="L130" t="str">
        <f t="shared" si="1"/>
        <v>	('064', 'K03', 0, NULL, -1),</v>
      </c>
      <c r="M130" t="s">
        <v>8</v>
      </c>
    </row>
    <row r="131" spans="7:13">
      <c r="G131" s="10" t="s">
        <v>150</v>
      </c>
      <c r="H131" s="10" t="s">
        <v>144</v>
      </c>
      <c r="I131" s="12">
        <v>0</v>
      </c>
      <c r="J131" s="12" t="s">
        <v>13</v>
      </c>
      <c r="K131" s="12">
        <v>-3</v>
      </c>
      <c r="L131" t="str">
        <f>CHAR(9)&amp;"('"&amp;G131&amp;"', '"&amp;H131&amp;"', "&amp;I131&amp;", "&amp;J131&amp;", "&amp;K131&amp;"),"</f>
        <v>	('065', 'K02', 0, NULL, -3),</v>
      </c>
      <c r="M131" t="s">
        <v>8</v>
      </c>
    </row>
    <row r="132" spans="7:13">
      <c r="G132" s="10" t="s">
        <v>150</v>
      </c>
      <c r="H132" s="10" t="s">
        <v>148</v>
      </c>
      <c r="I132" s="12">
        <v>0</v>
      </c>
      <c r="J132" s="12" t="s">
        <v>13</v>
      </c>
      <c r="K132" s="12">
        <v>-4</v>
      </c>
      <c r="L132" t="str">
        <f>CHAR(9)&amp;"('"&amp;G132&amp;"', '"&amp;H132&amp;"', "&amp;I132&amp;", "&amp;J132&amp;", "&amp;K132&amp;"),"</f>
        <v>	('065', 'K04', 0, NULL, -4),</v>
      </c>
      <c r="M132" t="s">
        <v>8</v>
      </c>
    </row>
    <row r="133" spans="7:13">
      <c r="G133" s="10" t="s">
        <v>151</v>
      </c>
      <c r="H133" s="10" t="s">
        <v>146</v>
      </c>
      <c r="I133" s="12">
        <v>0</v>
      </c>
      <c r="J133" s="12" t="s">
        <v>13</v>
      </c>
      <c r="K133" s="12">
        <v>-2</v>
      </c>
      <c r="L133" t="str">
        <f>CHAR(9)&amp;"('"&amp;G133&amp;"', '"&amp;H133&amp;"', "&amp;I133&amp;", "&amp;J133&amp;", "&amp;K133&amp;"),"</f>
        <v>	('066', 'K03', 0, NULL, -2),</v>
      </c>
      <c r="M133" t="s">
        <v>8</v>
      </c>
    </row>
    <row r="134" spans="7:13">
      <c r="G134" s="10" t="s">
        <v>151</v>
      </c>
      <c r="H134" s="10" t="s">
        <v>148</v>
      </c>
      <c r="I134" s="12">
        <v>0</v>
      </c>
      <c r="J134" s="12" t="s">
        <v>13</v>
      </c>
      <c r="K134" s="12">
        <v>0</v>
      </c>
      <c r="L134" t="str">
        <f>CHAR(9)&amp;"('"&amp;G134&amp;"', '"&amp;H134&amp;"', "&amp;I134&amp;", "&amp;J134&amp;", "&amp;K134&amp;"),"</f>
        <v>	('066', 'K04', 0, NULL, 0),</v>
      </c>
      <c r="M134" t="s">
        <v>8</v>
      </c>
    </row>
    <row r="135" spans="7:13">
      <c r="G135" s="10" t="s">
        <v>152</v>
      </c>
      <c r="H135" s="10" t="s">
        <v>153</v>
      </c>
      <c r="I135" s="12">
        <v>0</v>
      </c>
      <c r="J135" s="12" t="s">
        <v>13</v>
      </c>
      <c r="K135" s="12">
        <v>-2</v>
      </c>
      <c r="L135" t="str">
        <f>CHAR(9)&amp;"('"&amp;G135&amp;"', '"&amp;H135&amp;"', "&amp;I135&amp;", "&amp;J135&amp;", "&amp;K135&amp;"),"</f>
        <v>	('067', 'L01', 0, NULL, -2),</v>
      </c>
      <c r="M135" t="s">
        <v>8</v>
      </c>
    </row>
    <row r="136" spans="7:13">
      <c r="G136" s="10" t="s">
        <v>152</v>
      </c>
      <c r="H136" s="10" t="s">
        <v>154</v>
      </c>
      <c r="I136" s="12">
        <v>0</v>
      </c>
      <c r="J136" s="12" t="s">
        <v>13</v>
      </c>
      <c r="K136" s="12">
        <v>-1</v>
      </c>
      <c r="L136" t="str">
        <f>CHAR(9)&amp;"('"&amp;G136&amp;"', '"&amp;H136&amp;"', "&amp;I136&amp;", "&amp;J136&amp;", "&amp;K136&amp;"),"</f>
        <v>	('067', 'L02', 0, NULL, -1),</v>
      </c>
      <c r="M136" t="s">
        <v>8</v>
      </c>
    </row>
    <row r="137" spans="7:13">
      <c r="G137" s="10" t="s">
        <v>155</v>
      </c>
      <c r="H137" s="10" t="s">
        <v>153</v>
      </c>
      <c r="I137" s="12">
        <v>0</v>
      </c>
      <c r="J137" s="12" t="s">
        <v>13</v>
      </c>
      <c r="K137" s="12">
        <v>-1</v>
      </c>
      <c r="L137" t="str">
        <f>CHAR(9)&amp;"('"&amp;G137&amp;"', '"&amp;H137&amp;"', "&amp;I137&amp;", "&amp;J137&amp;", "&amp;K137&amp;"),"</f>
        <v>	('068', 'L01', 0, NULL, -1),</v>
      </c>
      <c r="M137" t="s">
        <v>8</v>
      </c>
    </row>
    <row r="138" spans="7:13">
      <c r="G138" s="10" t="s">
        <v>155</v>
      </c>
      <c r="H138" s="10" t="s">
        <v>156</v>
      </c>
      <c r="I138" s="12">
        <v>0</v>
      </c>
      <c r="J138" s="12" t="s">
        <v>13</v>
      </c>
      <c r="K138" s="12">
        <v>-1</v>
      </c>
      <c r="L138" t="str">
        <f>CHAR(9)&amp;"('"&amp;G138&amp;"', '"&amp;H138&amp;"', "&amp;I138&amp;", "&amp;J138&amp;", "&amp;K138&amp;"),"</f>
        <v>	('068', 'L03', 0, NULL, -1),</v>
      </c>
      <c r="M138" t="s">
        <v>8</v>
      </c>
    </row>
    <row r="139" spans="7:13">
      <c r="G139" s="10" t="s">
        <v>157</v>
      </c>
      <c r="H139" s="10" t="s">
        <v>153</v>
      </c>
      <c r="I139" s="12">
        <v>0</v>
      </c>
      <c r="J139" s="12" t="s">
        <v>13</v>
      </c>
      <c r="K139" s="12">
        <v>-1</v>
      </c>
      <c r="L139" t="str">
        <f>CHAR(9)&amp;"('"&amp;G139&amp;"', '"&amp;H139&amp;"', "&amp;I139&amp;", "&amp;J139&amp;", "&amp;K139&amp;"),"</f>
        <v>	('069', 'L01', 0, NULL, -1),</v>
      </c>
      <c r="M139" t="s">
        <v>8</v>
      </c>
    </row>
    <row r="140" spans="7:13">
      <c r="G140" s="10" t="s">
        <v>157</v>
      </c>
      <c r="H140" s="10" t="s">
        <v>158</v>
      </c>
      <c r="I140" s="12">
        <v>0</v>
      </c>
      <c r="J140" s="12" t="s">
        <v>13</v>
      </c>
      <c r="K140" s="12">
        <v>0</v>
      </c>
      <c r="L140" t="str">
        <f>CHAR(9)&amp;"('"&amp;G140&amp;"', '"&amp;H140&amp;"', "&amp;I140&amp;", "&amp;J140&amp;", "&amp;K140&amp;"),"</f>
        <v>	('069', 'L04', 0, NULL, 0),</v>
      </c>
      <c r="M140" t="s">
        <v>8</v>
      </c>
    </row>
    <row r="141" spans="7:13">
      <c r="G141" s="10" t="s">
        <v>159</v>
      </c>
      <c r="H141" s="10" t="s">
        <v>154</v>
      </c>
      <c r="I141" s="12">
        <v>0</v>
      </c>
      <c r="J141" s="12" t="s">
        <v>13</v>
      </c>
      <c r="K141" s="12">
        <v>-3</v>
      </c>
      <c r="L141" t="str">
        <f>CHAR(9)&amp;"('"&amp;G141&amp;"', '"&amp;H141&amp;"', "&amp;I141&amp;", "&amp;J141&amp;", "&amp;K141&amp;"),"</f>
        <v>	('070', 'L02', 0, NULL, -3),</v>
      </c>
      <c r="M141" t="s">
        <v>8</v>
      </c>
    </row>
    <row r="142" spans="7:13">
      <c r="G142" s="10" t="s">
        <v>159</v>
      </c>
      <c r="H142" s="10" t="s">
        <v>156</v>
      </c>
      <c r="I142" s="12">
        <v>0</v>
      </c>
      <c r="J142" s="12" t="s">
        <v>13</v>
      </c>
      <c r="K142" s="12">
        <v>-2</v>
      </c>
      <c r="L142" t="str">
        <f>CHAR(9)&amp;"('"&amp;G142&amp;"', '"&amp;H142&amp;"', "&amp;I142&amp;", "&amp;J142&amp;", "&amp;K142&amp;"),"</f>
        <v>	('070', 'L03', 0, NULL, -2),</v>
      </c>
      <c r="M142" t="s">
        <v>8</v>
      </c>
    </row>
    <row r="143" spans="7:13">
      <c r="G143" s="10" t="s">
        <v>160</v>
      </c>
      <c r="H143" s="10" t="s">
        <v>154</v>
      </c>
      <c r="I143" s="12">
        <v>0</v>
      </c>
      <c r="J143" s="12" t="s">
        <v>13</v>
      </c>
      <c r="K143" s="12">
        <v>0</v>
      </c>
      <c r="L143" t="str">
        <f>CHAR(9)&amp;"('"&amp;G143&amp;"', '"&amp;H143&amp;"', "&amp;I143&amp;", "&amp;J143&amp;", "&amp;K143&amp;"),"</f>
        <v>	('071', 'L02', 0, NULL, 0),</v>
      </c>
      <c r="M143" t="s">
        <v>8</v>
      </c>
    </row>
    <row r="144" spans="7:13">
      <c r="G144" s="10" t="s">
        <v>160</v>
      </c>
      <c r="H144" s="10" t="s">
        <v>158</v>
      </c>
      <c r="I144" s="12">
        <v>0</v>
      </c>
      <c r="J144" s="12" t="s">
        <v>13</v>
      </c>
      <c r="K144" s="12">
        <v>-1</v>
      </c>
      <c r="L144" t="str">
        <f>CHAR(9)&amp;"('"&amp;G144&amp;"', '"&amp;H144&amp;"', "&amp;I144&amp;", "&amp;J144&amp;", "&amp;K144&amp;"),"</f>
        <v>	('071', 'L04', 0, NULL, -1),</v>
      </c>
      <c r="M144" t="s">
        <v>8</v>
      </c>
    </row>
    <row r="145" spans="7:13">
      <c r="G145" s="10" t="s">
        <v>161</v>
      </c>
      <c r="H145" s="10" t="s">
        <v>156</v>
      </c>
      <c r="I145" s="12">
        <v>0</v>
      </c>
      <c r="J145" s="12" t="s">
        <v>13</v>
      </c>
      <c r="K145" s="12">
        <v>-3</v>
      </c>
      <c r="L145" t="str">
        <f>CHAR(9)&amp;"('"&amp;G145&amp;"', '"&amp;H145&amp;"', "&amp;I145&amp;", "&amp;J145&amp;", "&amp;K145&amp;"),"</f>
        <v>	('072', 'L03', 0, NULL, -3),</v>
      </c>
      <c r="M145" t="s">
        <v>8</v>
      </c>
    </row>
    <row r="146" spans="7:13">
      <c r="G146" s="10" t="s">
        <v>161</v>
      </c>
      <c r="H146" s="10" t="s">
        <v>158</v>
      </c>
      <c r="I146" s="12">
        <v>0</v>
      </c>
      <c r="J146" s="12" t="s">
        <v>13</v>
      </c>
      <c r="K146" s="12">
        <v>0</v>
      </c>
      <c r="L146" t="str">
        <f>CHAR(9)&amp;"('"&amp;G146&amp;"', '"&amp;H146&amp;"', "&amp;I146&amp;", "&amp;J146&amp;", "&amp;K146&amp;")"</f>
        <v>	('072', 'L04', 0, NULL, 0)</v>
      </c>
      <c r="M146" t="s">
        <v>8</v>
      </c>
    </row>
    <row r="147" spans="7:12">
      <c r="G147" s="10"/>
      <c r="H147" s="10"/>
      <c r="I147" s="12"/>
      <c r="J147" s="12"/>
      <c r="K147" s="12"/>
      <c r="L147" t="s">
        <v>162</v>
      </c>
    </row>
    <row r="148" spans="7:11">
      <c r="G148" s="10"/>
      <c r="H148" s="10"/>
      <c r="I148" s="12"/>
      <c r="J148" s="12"/>
      <c r="K148" s="12"/>
    </row>
    <row r="149" spans="7:11">
      <c r="G149" s="10"/>
      <c r="H149" s="10"/>
      <c r="I149" s="12"/>
      <c r="J149" s="12"/>
      <c r="K149" s="12"/>
    </row>
    <row r="150" spans="7:11">
      <c r="G150" s="10"/>
      <c r="H150" s="10"/>
      <c r="I150" s="12"/>
      <c r="J150" s="12"/>
      <c r="K150" s="12"/>
    </row>
    <row r="151" spans="7:11">
      <c r="G151" s="10"/>
      <c r="H151" s="10"/>
      <c r="I151" s="12"/>
      <c r="J151" s="12"/>
      <c r="K151" s="12"/>
    </row>
    <row r="152" spans="7:11">
      <c r="G152" s="10"/>
      <c r="H152" s="10"/>
      <c r="I152" s="12"/>
      <c r="J152" s="12"/>
      <c r="K152" s="12"/>
    </row>
    <row r="153" spans="7:11">
      <c r="G153" s="10"/>
      <c r="H153" s="10"/>
      <c r="I153" s="12"/>
      <c r="J153" s="12"/>
      <c r="K153" s="12"/>
    </row>
    <row r="154" spans="7:11">
      <c r="G154" s="10"/>
      <c r="H154" s="10"/>
      <c r="I154" s="12"/>
      <c r="J154" s="12"/>
      <c r="K154" s="12"/>
    </row>
    <row r="155" spans="7:11">
      <c r="G155" s="10"/>
      <c r="H155" s="10"/>
      <c r="I155" s="12"/>
      <c r="J155" s="12"/>
      <c r="K155" s="12"/>
    </row>
    <row r="156" spans="7:11">
      <c r="G156" s="10"/>
      <c r="H156" s="10"/>
      <c r="I156" s="12"/>
      <c r="J156" s="12"/>
      <c r="K156" s="12"/>
    </row>
    <row r="157" spans="7:11">
      <c r="G157" s="10"/>
      <c r="H157" s="10"/>
      <c r="I157" s="12"/>
      <c r="J157" s="12"/>
      <c r="K157" s="12"/>
    </row>
    <row r="158" spans="7:11">
      <c r="G158" s="10"/>
      <c r="H158" s="10"/>
      <c r="I158" s="12"/>
      <c r="J158" s="12"/>
      <c r="K158" s="12"/>
    </row>
    <row r="159" spans="7:11">
      <c r="G159" s="10"/>
      <c r="H159" s="10"/>
      <c r="I159" s="12"/>
      <c r="J159" s="12"/>
      <c r="K159" s="12"/>
    </row>
    <row r="160" spans="7:11">
      <c r="G160" s="10"/>
      <c r="H160" s="10"/>
      <c r="I160" s="12"/>
      <c r="J160" s="12"/>
      <c r="K160" s="12"/>
    </row>
    <row r="161" spans="7:11">
      <c r="G161" s="10"/>
      <c r="H161" s="10"/>
      <c r="I161" s="12"/>
      <c r="J161" s="12"/>
      <c r="K161" s="12"/>
    </row>
    <row r="162" spans="7:11">
      <c r="G162" s="10"/>
      <c r="H162" s="10"/>
      <c r="I162" s="12"/>
      <c r="J162" s="12"/>
      <c r="K162" s="12"/>
    </row>
    <row r="163" spans="7:11">
      <c r="G163" s="10"/>
      <c r="H163" s="10"/>
      <c r="I163" s="12"/>
      <c r="J163" s="12"/>
      <c r="K163" s="12"/>
    </row>
    <row r="164" spans="7:11">
      <c r="G164" s="10"/>
      <c r="H164" s="10"/>
      <c r="I164" s="12"/>
      <c r="J164" s="12"/>
      <c r="K164" s="12"/>
    </row>
    <row r="165" spans="7:11">
      <c r="G165" s="10"/>
      <c r="H165" s="10"/>
      <c r="I165" s="12"/>
      <c r="J165" s="12"/>
      <c r="K165" s="12"/>
    </row>
    <row r="166" spans="7:11">
      <c r="G166" s="10"/>
      <c r="H166" s="10"/>
      <c r="I166" s="12"/>
      <c r="J166" s="12"/>
      <c r="K166" s="12"/>
    </row>
    <row r="167" spans="7:11">
      <c r="G167" s="10"/>
      <c r="H167" s="10"/>
      <c r="I167" s="12"/>
      <c r="J167" s="12"/>
      <c r="K167" s="12"/>
    </row>
    <row r="168" spans="7:11">
      <c r="G168" s="10"/>
      <c r="H168" s="10"/>
      <c r="I168" s="12"/>
      <c r="J168" s="12"/>
      <c r="K168" s="12"/>
    </row>
    <row r="169" spans="7:11">
      <c r="G169" s="10"/>
      <c r="H169" s="10"/>
      <c r="I169" s="12"/>
      <c r="J169" s="12"/>
      <c r="K169" s="12"/>
    </row>
    <row r="170" spans="7:11">
      <c r="G170" s="10"/>
      <c r="H170" s="10"/>
      <c r="I170" s="12"/>
      <c r="J170" s="12"/>
      <c r="K170" s="12"/>
    </row>
    <row r="171" spans="7:11">
      <c r="G171" s="10"/>
      <c r="H171" s="10"/>
      <c r="I171" s="12"/>
      <c r="J171" s="12"/>
      <c r="K171" s="12"/>
    </row>
    <row r="172" spans="7:11">
      <c r="G172" s="10"/>
      <c r="H172" s="10"/>
      <c r="I172" s="12"/>
      <c r="J172" s="12"/>
      <c r="K172" s="12"/>
    </row>
    <row r="173" spans="7:11">
      <c r="G173" s="10"/>
      <c r="H173" s="10"/>
      <c r="I173" s="12"/>
      <c r="J173" s="12"/>
      <c r="K173" s="12"/>
    </row>
    <row r="174" spans="7:11">
      <c r="G174" s="10"/>
      <c r="H174" s="10"/>
      <c r="I174" s="12"/>
      <c r="J174" s="12"/>
      <c r="K174" s="12"/>
    </row>
    <row r="175" spans="7:11">
      <c r="G175" s="10"/>
      <c r="H175" s="10"/>
      <c r="I175" s="12"/>
      <c r="J175" s="12"/>
      <c r="K175" s="12"/>
    </row>
    <row r="176" spans="7:11">
      <c r="G176" s="10"/>
      <c r="H176" s="10"/>
      <c r="I176" s="12"/>
      <c r="J176" s="12"/>
      <c r="K176" s="12"/>
    </row>
    <row r="177" spans="7:11">
      <c r="G177" s="10"/>
      <c r="H177" s="10"/>
      <c r="I177" s="12"/>
      <c r="J177" s="12"/>
      <c r="K177" s="12"/>
    </row>
    <row r="178" spans="7:11">
      <c r="G178" s="10"/>
      <c r="H178" s="10"/>
      <c r="I178" s="12"/>
      <c r="J178" s="12"/>
      <c r="K178" s="12"/>
    </row>
    <row r="179" spans="7:11">
      <c r="G179" s="10"/>
      <c r="H179" s="10"/>
      <c r="I179" s="12"/>
      <c r="J179" s="12"/>
      <c r="K179" s="12"/>
    </row>
    <row r="180" spans="7:11">
      <c r="G180" s="10"/>
      <c r="H180" s="10"/>
      <c r="I180" s="12"/>
      <c r="J180" s="12"/>
      <c r="K180" s="12"/>
    </row>
    <row r="181" spans="7:11">
      <c r="G181" s="10"/>
      <c r="H181" s="10"/>
      <c r="I181" s="12"/>
      <c r="J181" s="12"/>
      <c r="K181" s="12"/>
    </row>
    <row r="182" spans="7:11">
      <c r="G182" s="10"/>
      <c r="H182" s="10"/>
      <c r="I182" s="12"/>
      <c r="J182" s="12"/>
      <c r="K182" s="12"/>
    </row>
    <row r="183" spans="7:11">
      <c r="G183" s="10"/>
      <c r="H183" s="10"/>
      <c r="I183" s="12"/>
      <c r="J183" s="12"/>
      <c r="K183" s="12"/>
    </row>
    <row r="184" spans="7:11">
      <c r="G184" s="10"/>
      <c r="H184" s="10"/>
      <c r="I184" s="12"/>
      <c r="J184" s="12"/>
      <c r="K184" s="12"/>
    </row>
    <row r="185" spans="7:11">
      <c r="G185" s="10"/>
      <c r="H185" s="10"/>
      <c r="I185" s="12"/>
      <c r="J185" s="12"/>
      <c r="K185" s="12"/>
    </row>
    <row r="186" spans="7:11">
      <c r="G186" s="10"/>
      <c r="H186" s="10"/>
      <c r="I186" s="12"/>
      <c r="J186" s="12"/>
      <c r="K186" s="12"/>
    </row>
    <row r="187" spans="7:11">
      <c r="G187" s="10"/>
      <c r="H187" s="10"/>
      <c r="I187" s="12"/>
      <c r="J187" s="12"/>
      <c r="K187" s="12"/>
    </row>
    <row r="188" spans="7:11">
      <c r="G188" s="10"/>
      <c r="H188" s="10"/>
      <c r="I188" s="12"/>
      <c r="J188" s="12"/>
      <c r="K188" s="12"/>
    </row>
    <row r="189" spans="7:11">
      <c r="G189" s="10"/>
      <c r="H189" s="10"/>
      <c r="I189" s="12"/>
      <c r="J189" s="12"/>
      <c r="K189" s="12"/>
    </row>
    <row r="190" spans="7:11">
      <c r="G190" s="10"/>
      <c r="H190" s="10"/>
      <c r="I190" s="12"/>
      <c r="J190" s="12"/>
      <c r="K190" s="12"/>
    </row>
    <row r="191" spans="7:11">
      <c r="G191" s="10"/>
      <c r="H191" s="10"/>
      <c r="I191" s="12"/>
      <c r="J191" s="12"/>
      <c r="K191" s="12"/>
    </row>
    <row r="192" spans="7:11">
      <c r="G192" s="10"/>
      <c r="H192" s="10"/>
      <c r="I192" s="12"/>
      <c r="J192" s="12"/>
      <c r="K192" s="12"/>
    </row>
    <row r="193" spans="7:11">
      <c r="G193" s="10"/>
      <c r="H193" s="10"/>
      <c r="I193" s="12"/>
      <c r="J193" s="12"/>
      <c r="K193" s="12"/>
    </row>
    <row r="194" spans="7:11">
      <c r="G194" s="10"/>
      <c r="H194" s="10"/>
      <c r="I194" s="12"/>
      <c r="J194" s="12"/>
      <c r="K194" s="12"/>
    </row>
    <row r="195" spans="7:11">
      <c r="G195" s="10"/>
      <c r="H195" s="10"/>
      <c r="I195" s="12"/>
      <c r="J195" s="14"/>
      <c r="K195" s="12"/>
    </row>
    <row r="196" spans="7:11">
      <c r="G196" s="10"/>
      <c r="H196" s="10"/>
      <c r="I196" s="12"/>
      <c r="J196" s="14"/>
      <c r="K196" s="12"/>
    </row>
    <row r="197" spans="7:11">
      <c r="G197" s="10"/>
      <c r="H197" s="10"/>
      <c r="I197" s="12"/>
      <c r="J197" s="14"/>
      <c r="K197" s="12"/>
    </row>
    <row r="198" spans="7:11">
      <c r="G198" s="10"/>
      <c r="H198" s="10"/>
      <c r="I198" s="12"/>
      <c r="J198" s="14"/>
      <c r="K198" s="12"/>
    </row>
    <row r="199" spans="7:11">
      <c r="G199" s="10"/>
      <c r="H199" s="10"/>
      <c r="I199" s="12"/>
      <c r="J199" s="14"/>
      <c r="K199" s="12"/>
    </row>
    <row r="200" spans="7:11">
      <c r="G200" s="10"/>
      <c r="H200" s="10"/>
      <c r="I200" s="12"/>
      <c r="J200" s="14"/>
      <c r="K200" s="12"/>
    </row>
    <row r="201" spans="7:11">
      <c r="G201" s="10"/>
      <c r="H201" s="10"/>
      <c r="I201" s="12"/>
      <c r="J201" s="14"/>
      <c r="K201" s="12"/>
    </row>
    <row r="202" spans="7:11">
      <c r="G202" s="10"/>
      <c r="H202" s="10"/>
      <c r="I202" s="12"/>
      <c r="J202" s="14"/>
      <c r="K202" s="12"/>
    </row>
    <row r="203" spans="7:11">
      <c r="G203" s="10"/>
      <c r="H203" s="10"/>
      <c r="I203" s="12"/>
      <c r="J203" s="14"/>
      <c r="K203" s="12"/>
    </row>
    <row r="204" spans="7:11">
      <c r="G204" s="10"/>
      <c r="H204" s="10"/>
      <c r="I204" s="12"/>
      <c r="J204" s="14"/>
      <c r="K204" s="12"/>
    </row>
    <row r="205" spans="7:11">
      <c r="G205" s="10"/>
      <c r="H205" s="10"/>
      <c r="I205" s="12"/>
      <c r="J205" s="14"/>
      <c r="K205" s="12"/>
    </row>
    <row r="206" spans="7:11">
      <c r="G206" s="10"/>
      <c r="H206" s="10"/>
      <c r="I206" s="12"/>
      <c r="J206" s="14"/>
      <c r="K206" s="12"/>
    </row>
    <row r="207" spans="7:11">
      <c r="G207" s="10"/>
      <c r="H207" s="10"/>
      <c r="I207" s="12"/>
      <c r="J207" s="12"/>
      <c r="K207" s="12"/>
    </row>
    <row r="208" spans="7:11">
      <c r="G208" s="10"/>
      <c r="H208" s="10"/>
      <c r="I208" s="12"/>
      <c r="J208" s="12"/>
      <c r="K208" s="12"/>
    </row>
    <row r="209" spans="7:11">
      <c r="G209" s="10"/>
      <c r="H209" s="10"/>
      <c r="I209" s="12"/>
      <c r="J209" s="12"/>
      <c r="K209" s="12"/>
    </row>
    <row r="210" spans="7:11">
      <c r="G210" s="10"/>
      <c r="H210" s="10"/>
      <c r="I210" s="12"/>
      <c r="J210" s="12"/>
      <c r="K210" s="12"/>
    </row>
    <row r="211" spans="12:12">
      <c r="L211" t="s">
        <v>162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selection activeCell="B11" sqref="B11"/>
    </sheetView>
  </sheetViews>
  <sheetFormatPr defaultColWidth="8.88888888888889" defaultRowHeight="18.75"/>
  <sheetData>
    <row r="1" spans="1:13">
      <c r="A1" t="s">
        <v>163</v>
      </c>
      <c r="B1" t="s">
        <v>164</v>
      </c>
      <c r="C1" t="s">
        <v>3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6</v>
      </c>
      <c r="L1" t="s">
        <v>172</v>
      </c>
      <c r="M1" t="s">
        <v>173</v>
      </c>
    </row>
    <row r="2" spans="1:13">
      <c r="A2" s="15" t="s">
        <v>35</v>
      </c>
      <c r="B2">
        <v>1</v>
      </c>
      <c r="C2" t="s">
        <v>12</v>
      </c>
      <c r="D2">
        <v>3</v>
      </c>
      <c r="E2">
        <v>2</v>
      </c>
      <c r="F2">
        <v>0</v>
      </c>
      <c r="G2">
        <v>1</v>
      </c>
      <c r="H2">
        <v>6</v>
      </c>
      <c r="I2">
        <v>3</v>
      </c>
      <c r="J2">
        <v>3</v>
      </c>
      <c r="K2">
        <v>-8</v>
      </c>
      <c r="L2">
        <v>6</v>
      </c>
      <c r="M2">
        <v>1</v>
      </c>
    </row>
    <row r="3" spans="1:13">
      <c r="A3" s="15" t="s">
        <v>35</v>
      </c>
      <c r="B3">
        <v>2</v>
      </c>
      <c r="C3" t="s">
        <v>15</v>
      </c>
      <c r="D3">
        <v>3</v>
      </c>
      <c r="E3">
        <v>2</v>
      </c>
      <c r="F3">
        <v>0</v>
      </c>
      <c r="G3">
        <v>1</v>
      </c>
      <c r="H3">
        <v>6</v>
      </c>
      <c r="I3">
        <v>3</v>
      </c>
      <c r="J3">
        <v>3</v>
      </c>
      <c r="K3">
        <v>-13</v>
      </c>
      <c r="L3">
        <v>6</v>
      </c>
      <c r="M3">
        <v>2</v>
      </c>
    </row>
    <row r="4" spans="1:13">
      <c r="A4" s="15" t="s">
        <v>35</v>
      </c>
      <c r="B4">
        <v>4</v>
      </c>
      <c r="C4" t="s">
        <v>18</v>
      </c>
      <c r="D4">
        <v>3</v>
      </c>
      <c r="E4">
        <v>1</v>
      </c>
      <c r="F4">
        <v>0</v>
      </c>
      <c r="G4">
        <v>2</v>
      </c>
      <c r="H4">
        <v>3</v>
      </c>
      <c r="I4">
        <v>6</v>
      </c>
      <c r="J4">
        <v>-3</v>
      </c>
      <c r="K4">
        <v>-7</v>
      </c>
      <c r="L4">
        <v>3</v>
      </c>
      <c r="M4">
        <v>3</v>
      </c>
    </row>
    <row r="5" spans="1:13">
      <c r="A5" s="15" t="s">
        <v>35</v>
      </c>
      <c r="B5">
        <v>5</v>
      </c>
      <c r="C5" t="s">
        <v>26</v>
      </c>
      <c r="D5">
        <v>3</v>
      </c>
      <c r="E5">
        <v>1</v>
      </c>
      <c r="F5">
        <v>0</v>
      </c>
      <c r="G5">
        <v>2</v>
      </c>
      <c r="H5">
        <v>3</v>
      </c>
      <c r="I5">
        <v>6</v>
      </c>
      <c r="J5">
        <v>-3</v>
      </c>
      <c r="K5">
        <v>-4</v>
      </c>
      <c r="L5">
        <v>3</v>
      </c>
      <c r="M5">
        <v>4</v>
      </c>
    </row>
    <row r="6" spans="1:13">
      <c r="A6" s="15" t="s">
        <v>37</v>
      </c>
      <c r="B6">
        <v>1</v>
      </c>
      <c r="C6" t="s">
        <v>40</v>
      </c>
      <c r="D6">
        <v>3</v>
      </c>
      <c r="E6">
        <v>2</v>
      </c>
      <c r="F6">
        <v>0</v>
      </c>
      <c r="G6">
        <v>1</v>
      </c>
      <c r="H6">
        <v>12</v>
      </c>
      <c r="I6">
        <v>3</v>
      </c>
      <c r="J6">
        <v>9</v>
      </c>
      <c r="K6">
        <v>-1</v>
      </c>
      <c r="L6">
        <v>6</v>
      </c>
      <c r="M6">
        <v>5</v>
      </c>
    </row>
    <row r="7" spans="1:13">
      <c r="A7" s="15" t="s">
        <v>37</v>
      </c>
      <c r="B7">
        <v>2</v>
      </c>
      <c r="C7" t="s">
        <v>43</v>
      </c>
      <c r="D7">
        <v>3</v>
      </c>
      <c r="E7">
        <v>2</v>
      </c>
      <c r="F7">
        <v>0</v>
      </c>
      <c r="G7">
        <v>1</v>
      </c>
      <c r="H7">
        <v>9</v>
      </c>
      <c r="I7">
        <v>9</v>
      </c>
      <c r="J7">
        <v>0</v>
      </c>
      <c r="K7">
        <v>-9</v>
      </c>
      <c r="L7">
        <v>6</v>
      </c>
      <c r="M7">
        <v>6</v>
      </c>
    </row>
    <row r="8" spans="1:13">
      <c r="A8" s="15" t="s">
        <v>37</v>
      </c>
      <c r="B8">
        <v>3</v>
      </c>
      <c r="C8" t="s">
        <v>49</v>
      </c>
      <c r="D8">
        <v>3</v>
      </c>
      <c r="E8">
        <v>2</v>
      </c>
      <c r="F8">
        <v>0</v>
      </c>
      <c r="G8">
        <v>1</v>
      </c>
      <c r="H8">
        <v>6</v>
      </c>
      <c r="I8">
        <v>6</v>
      </c>
      <c r="J8">
        <v>0</v>
      </c>
      <c r="K8">
        <v>-1</v>
      </c>
      <c r="L8">
        <v>6</v>
      </c>
      <c r="M8">
        <v>7</v>
      </c>
    </row>
    <row r="9" spans="1:13">
      <c r="A9" s="15" t="s">
        <v>37</v>
      </c>
      <c r="B9">
        <v>4</v>
      </c>
      <c r="C9" t="s">
        <v>53</v>
      </c>
      <c r="D9">
        <v>3</v>
      </c>
      <c r="E9">
        <v>0</v>
      </c>
      <c r="F9">
        <v>0</v>
      </c>
      <c r="G9">
        <v>3</v>
      </c>
      <c r="H9">
        <v>0</v>
      </c>
      <c r="I9">
        <v>9</v>
      </c>
      <c r="J9">
        <v>-9</v>
      </c>
      <c r="K9">
        <v>-2</v>
      </c>
      <c r="L9">
        <v>0</v>
      </c>
      <c r="M9">
        <v>8</v>
      </c>
    </row>
    <row r="10" spans="1:13">
      <c r="A10" s="15" t="s">
        <v>41</v>
      </c>
      <c r="B10">
        <v>1</v>
      </c>
      <c r="C10" t="s">
        <v>63</v>
      </c>
      <c r="D10">
        <v>3</v>
      </c>
      <c r="E10">
        <v>2</v>
      </c>
      <c r="F10">
        <v>0</v>
      </c>
      <c r="G10">
        <v>1</v>
      </c>
      <c r="H10">
        <v>7</v>
      </c>
      <c r="I10">
        <v>4</v>
      </c>
      <c r="J10">
        <v>3</v>
      </c>
      <c r="K10">
        <v>-4</v>
      </c>
      <c r="L10">
        <v>6</v>
      </c>
      <c r="M10">
        <v>9</v>
      </c>
    </row>
    <row r="11" spans="1:13">
      <c r="A11" s="15" t="s">
        <v>41</v>
      </c>
      <c r="B11">
        <v>4</v>
      </c>
      <c r="C11" t="s">
        <v>68</v>
      </c>
      <c r="D11">
        <v>3</v>
      </c>
      <c r="E11">
        <v>0</v>
      </c>
      <c r="F11">
        <v>0</v>
      </c>
      <c r="G11">
        <v>3</v>
      </c>
      <c r="H11">
        <v>0</v>
      </c>
      <c r="I11">
        <v>9</v>
      </c>
      <c r="J11">
        <v>-9</v>
      </c>
      <c r="K11">
        <v>0</v>
      </c>
      <c r="L11">
        <v>0</v>
      </c>
      <c r="M11">
        <v>12</v>
      </c>
    </row>
    <row r="12" spans="1:13">
      <c r="A12" s="15" t="s">
        <v>44</v>
      </c>
      <c r="B12">
        <v>1</v>
      </c>
      <c r="C12" t="s">
        <v>73</v>
      </c>
      <c r="D12">
        <v>3</v>
      </c>
      <c r="E12">
        <v>1</v>
      </c>
      <c r="F12">
        <v>1</v>
      </c>
      <c r="G12">
        <v>1</v>
      </c>
      <c r="H12">
        <v>4</v>
      </c>
      <c r="I12">
        <v>4</v>
      </c>
      <c r="J12">
        <v>0</v>
      </c>
      <c r="K12">
        <v>-4</v>
      </c>
      <c r="L12">
        <v>4</v>
      </c>
      <c r="M12">
        <v>13</v>
      </c>
    </row>
    <row r="13" spans="1:13">
      <c r="A13" s="15" t="s">
        <v>44</v>
      </c>
      <c r="B13">
        <v>2</v>
      </c>
      <c r="C13" t="s">
        <v>74</v>
      </c>
      <c r="D13">
        <v>3</v>
      </c>
      <c r="E13">
        <v>1</v>
      </c>
      <c r="F13">
        <v>1</v>
      </c>
      <c r="G13">
        <v>1</v>
      </c>
      <c r="H13">
        <v>6</v>
      </c>
      <c r="I13">
        <v>6</v>
      </c>
      <c r="J13">
        <v>0</v>
      </c>
      <c r="K13">
        <v>-1</v>
      </c>
      <c r="L13">
        <v>4</v>
      </c>
      <c r="M13">
        <v>14</v>
      </c>
    </row>
    <row r="14" spans="1:13">
      <c r="A14" s="15" t="s">
        <v>44</v>
      </c>
      <c r="B14">
        <v>3</v>
      </c>
      <c r="C14" t="s">
        <v>76</v>
      </c>
      <c r="D14">
        <v>3</v>
      </c>
      <c r="E14">
        <v>1</v>
      </c>
      <c r="F14">
        <v>1</v>
      </c>
      <c r="G14">
        <v>1</v>
      </c>
      <c r="H14">
        <v>4</v>
      </c>
      <c r="I14">
        <v>4</v>
      </c>
      <c r="J14">
        <v>0</v>
      </c>
      <c r="K14">
        <v>-1</v>
      </c>
      <c r="L14">
        <v>4</v>
      </c>
      <c r="M14">
        <v>15</v>
      </c>
    </row>
    <row r="15" spans="1:13">
      <c r="A15" s="15" t="s">
        <v>44</v>
      </c>
      <c r="B15">
        <v>4</v>
      </c>
      <c r="C15" t="s">
        <v>78</v>
      </c>
      <c r="D15">
        <v>3</v>
      </c>
      <c r="E15">
        <v>1</v>
      </c>
      <c r="F15">
        <v>1</v>
      </c>
      <c r="G15">
        <v>1</v>
      </c>
      <c r="H15">
        <v>2</v>
      </c>
      <c r="I15">
        <v>2</v>
      </c>
      <c r="J15">
        <v>0</v>
      </c>
      <c r="K15">
        <v>-4</v>
      </c>
      <c r="L15">
        <v>4</v>
      </c>
      <c r="M15">
        <v>16</v>
      </c>
    </row>
    <row r="16" spans="1:13">
      <c r="A16" s="15" t="s">
        <v>47</v>
      </c>
      <c r="B16">
        <v>1</v>
      </c>
      <c r="C16" t="s">
        <v>83</v>
      </c>
      <c r="D16">
        <v>3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-3</v>
      </c>
      <c r="L16">
        <v>3</v>
      </c>
      <c r="M16">
        <v>17</v>
      </c>
    </row>
    <row r="17" spans="1:13">
      <c r="A17" s="15" t="s">
        <v>47</v>
      </c>
      <c r="B17">
        <v>1</v>
      </c>
      <c r="C17" t="s">
        <v>84</v>
      </c>
      <c r="D17">
        <v>3</v>
      </c>
      <c r="E17">
        <v>0</v>
      </c>
      <c r="F17">
        <v>3</v>
      </c>
      <c r="G17">
        <v>0</v>
      </c>
      <c r="H17">
        <v>0</v>
      </c>
      <c r="I17">
        <v>0</v>
      </c>
      <c r="J17">
        <v>0</v>
      </c>
      <c r="K17">
        <v>-5</v>
      </c>
      <c r="L17">
        <v>3</v>
      </c>
      <c r="M17">
        <v>18</v>
      </c>
    </row>
    <row r="18" spans="1:13">
      <c r="A18" s="15" t="s">
        <v>47</v>
      </c>
      <c r="B18">
        <v>1</v>
      </c>
      <c r="C18" t="s">
        <v>86</v>
      </c>
      <c r="D18">
        <v>3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-9</v>
      </c>
      <c r="L18">
        <v>3</v>
      </c>
      <c r="M18">
        <v>19</v>
      </c>
    </row>
    <row r="19" spans="1:13">
      <c r="A19" s="15" t="s">
        <v>47</v>
      </c>
      <c r="B19">
        <v>1</v>
      </c>
      <c r="C19" t="s">
        <v>88</v>
      </c>
      <c r="D19">
        <v>3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-14</v>
      </c>
      <c r="L19">
        <v>3</v>
      </c>
      <c r="M19">
        <v>20</v>
      </c>
    </row>
    <row r="20" spans="1:13">
      <c r="A20" s="15" t="s">
        <v>50</v>
      </c>
      <c r="B20">
        <v>1</v>
      </c>
      <c r="C20" t="s">
        <v>93</v>
      </c>
      <c r="D20">
        <v>3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  <c r="K20">
        <v>-3</v>
      </c>
      <c r="L20">
        <v>3</v>
      </c>
      <c r="M20">
        <v>21</v>
      </c>
    </row>
    <row r="21" spans="1:13">
      <c r="A21" s="15" t="s">
        <v>50</v>
      </c>
      <c r="B21">
        <v>1</v>
      </c>
      <c r="C21" t="s">
        <v>94</v>
      </c>
      <c r="D21">
        <v>3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-4</v>
      </c>
      <c r="L21">
        <v>3</v>
      </c>
      <c r="M21">
        <v>22</v>
      </c>
    </row>
    <row r="22" spans="1:13">
      <c r="A22" s="15" t="s">
        <v>50</v>
      </c>
      <c r="B22">
        <v>1</v>
      </c>
      <c r="C22" t="s">
        <v>96</v>
      </c>
      <c r="D22">
        <v>3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-6</v>
      </c>
      <c r="L22">
        <v>3</v>
      </c>
      <c r="M22">
        <v>23</v>
      </c>
    </row>
    <row r="23" spans="1:13">
      <c r="A23" s="15" t="s">
        <v>50</v>
      </c>
      <c r="B23">
        <v>1</v>
      </c>
      <c r="C23" t="s">
        <v>98</v>
      </c>
      <c r="D23">
        <v>3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-8</v>
      </c>
      <c r="L23">
        <v>3</v>
      </c>
      <c r="M23">
        <v>24</v>
      </c>
    </row>
    <row r="24" spans="1:13">
      <c r="A24" s="15" t="s">
        <v>52</v>
      </c>
      <c r="B24">
        <v>1</v>
      </c>
      <c r="C24" t="s">
        <v>103</v>
      </c>
      <c r="D24">
        <v>3</v>
      </c>
      <c r="E24">
        <v>0</v>
      </c>
      <c r="F24">
        <v>3</v>
      </c>
      <c r="G24">
        <v>0</v>
      </c>
      <c r="H24">
        <v>0</v>
      </c>
      <c r="I24">
        <v>0</v>
      </c>
      <c r="J24">
        <v>0</v>
      </c>
      <c r="K24">
        <v>-7</v>
      </c>
      <c r="L24">
        <v>3</v>
      </c>
      <c r="M24">
        <v>25</v>
      </c>
    </row>
    <row r="25" spans="1:13">
      <c r="A25" s="15" t="s">
        <v>52</v>
      </c>
      <c r="B25">
        <v>1</v>
      </c>
      <c r="C25" t="s">
        <v>104</v>
      </c>
      <c r="D25">
        <v>3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-6</v>
      </c>
      <c r="L25">
        <v>3</v>
      </c>
      <c r="M25">
        <v>26</v>
      </c>
    </row>
    <row r="26" spans="1:13">
      <c r="A26" s="15" t="s">
        <v>52</v>
      </c>
      <c r="B26">
        <v>1</v>
      </c>
      <c r="C26" t="s">
        <v>106</v>
      </c>
      <c r="D26">
        <v>3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-2</v>
      </c>
      <c r="L26">
        <v>3</v>
      </c>
      <c r="M26">
        <v>27</v>
      </c>
    </row>
    <row r="27" spans="1:13">
      <c r="A27" s="15" t="s">
        <v>52</v>
      </c>
      <c r="B27">
        <v>1</v>
      </c>
      <c r="C27" t="s">
        <v>108</v>
      </c>
      <c r="D27">
        <v>3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-5</v>
      </c>
      <c r="L27">
        <v>3</v>
      </c>
      <c r="M27">
        <v>28</v>
      </c>
    </row>
    <row r="28" spans="1:13">
      <c r="A28" s="15" t="s">
        <v>54</v>
      </c>
      <c r="B28">
        <v>1</v>
      </c>
      <c r="C28" t="s">
        <v>113</v>
      </c>
      <c r="D28">
        <v>3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-2</v>
      </c>
      <c r="L28">
        <v>3</v>
      </c>
      <c r="M28">
        <v>29</v>
      </c>
    </row>
    <row r="29" spans="1:13">
      <c r="A29" s="15" t="s">
        <v>54</v>
      </c>
      <c r="B29">
        <v>1</v>
      </c>
      <c r="C29" t="s">
        <v>114</v>
      </c>
      <c r="D29">
        <v>3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-2</v>
      </c>
      <c r="L29">
        <v>3</v>
      </c>
      <c r="M29">
        <v>30</v>
      </c>
    </row>
    <row r="30" spans="1:13">
      <c r="A30" s="15" t="s">
        <v>54</v>
      </c>
      <c r="B30">
        <v>1</v>
      </c>
      <c r="C30" t="s">
        <v>116</v>
      </c>
      <c r="D30">
        <v>3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-4</v>
      </c>
      <c r="L30">
        <v>3</v>
      </c>
      <c r="M30">
        <v>31</v>
      </c>
    </row>
    <row r="31" spans="1:13">
      <c r="A31" s="15" t="s">
        <v>54</v>
      </c>
      <c r="B31">
        <v>1</v>
      </c>
      <c r="C31" t="s">
        <v>118</v>
      </c>
      <c r="D31">
        <v>3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-3</v>
      </c>
      <c r="L31">
        <v>3</v>
      </c>
      <c r="M31">
        <v>32</v>
      </c>
    </row>
    <row r="32" spans="1:13">
      <c r="A32" s="15" t="s">
        <v>56</v>
      </c>
      <c r="B32">
        <v>1</v>
      </c>
      <c r="C32" t="s">
        <v>123</v>
      </c>
      <c r="D32">
        <v>3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-3</v>
      </c>
      <c r="L32">
        <v>3</v>
      </c>
      <c r="M32">
        <v>33</v>
      </c>
    </row>
    <row r="33" spans="1:13">
      <c r="A33" s="15" t="s">
        <v>56</v>
      </c>
      <c r="B33">
        <v>1</v>
      </c>
      <c r="C33" t="s">
        <v>124</v>
      </c>
      <c r="D33">
        <v>3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-2</v>
      </c>
      <c r="L33">
        <v>3</v>
      </c>
      <c r="M33">
        <v>34</v>
      </c>
    </row>
    <row r="34" spans="1:13">
      <c r="A34" s="15" t="s">
        <v>56</v>
      </c>
      <c r="B34">
        <v>1</v>
      </c>
      <c r="C34" t="s">
        <v>126</v>
      </c>
      <c r="D34">
        <v>3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-5</v>
      </c>
      <c r="L34">
        <v>3</v>
      </c>
      <c r="M34">
        <v>35</v>
      </c>
    </row>
    <row r="35" spans="1:13">
      <c r="A35" s="15" t="s">
        <v>56</v>
      </c>
      <c r="B35">
        <v>1</v>
      </c>
      <c r="C35" t="s">
        <v>128</v>
      </c>
      <c r="D35">
        <v>3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-4</v>
      </c>
      <c r="L35">
        <v>3</v>
      </c>
      <c r="M35">
        <v>36</v>
      </c>
    </row>
    <row r="36" spans="1:13">
      <c r="A36">
        <v>10</v>
      </c>
      <c r="B36">
        <v>1</v>
      </c>
      <c r="C36" t="s">
        <v>133</v>
      </c>
      <c r="D36">
        <v>3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-6</v>
      </c>
      <c r="L36">
        <v>3</v>
      </c>
      <c r="M36">
        <v>37</v>
      </c>
    </row>
    <row r="37" spans="1:13">
      <c r="A37">
        <v>10</v>
      </c>
      <c r="B37">
        <v>1</v>
      </c>
      <c r="C37" t="s">
        <v>134</v>
      </c>
      <c r="D37">
        <v>3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-1</v>
      </c>
      <c r="L37">
        <v>3</v>
      </c>
      <c r="M37">
        <v>38</v>
      </c>
    </row>
    <row r="38" spans="1:13">
      <c r="A38">
        <v>10</v>
      </c>
      <c r="B38">
        <v>1</v>
      </c>
      <c r="C38" t="s">
        <v>136</v>
      </c>
      <c r="D38">
        <v>3</v>
      </c>
      <c r="E38">
        <v>0</v>
      </c>
      <c r="F38">
        <v>3</v>
      </c>
      <c r="G38">
        <v>0</v>
      </c>
      <c r="H38">
        <v>0</v>
      </c>
      <c r="I38">
        <v>0</v>
      </c>
      <c r="J38">
        <v>0</v>
      </c>
      <c r="K38">
        <v>-2</v>
      </c>
      <c r="L38">
        <v>3</v>
      </c>
      <c r="M38">
        <v>39</v>
      </c>
    </row>
    <row r="39" spans="1:13">
      <c r="A39">
        <v>10</v>
      </c>
      <c r="B39">
        <v>1</v>
      </c>
      <c r="C39" t="s">
        <v>138</v>
      </c>
      <c r="D39">
        <v>3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-4</v>
      </c>
      <c r="L39">
        <v>3</v>
      </c>
      <c r="M39">
        <v>40</v>
      </c>
    </row>
    <row r="40" spans="1:13">
      <c r="A40">
        <v>11</v>
      </c>
      <c r="B40">
        <v>1</v>
      </c>
      <c r="C40" t="s">
        <v>143</v>
      </c>
      <c r="D40">
        <v>3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-4</v>
      </c>
      <c r="L40">
        <v>3</v>
      </c>
      <c r="M40">
        <v>41</v>
      </c>
    </row>
    <row r="41" spans="1:13">
      <c r="A41">
        <v>11</v>
      </c>
      <c r="B41">
        <v>1</v>
      </c>
      <c r="C41" t="s">
        <v>144</v>
      </c>
      <c r="D41">
        <v>3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  <c r="K41">
        <v>-11</v>
      </c>
      <c r="L41">
        <v>3</v>
      </c>
      <c r="M41">
        <v>42</v>
      </c>
    </row>
    <row r="42" spans="1:13">
      <c r="A42">
        <v>11</v>
      </c>
      <c r="B42">
        <v>1</v>
      </c>
      <c r="C42" t="s">
        <v>146</v>
      </c>
      <c r="D42">
        <v>3</v>
      </c>
      <c r="E42">
        <v>0</v>
      </c>
      <c r="F42">
        <v>3</v>
      </c>
      <c r="G42">
        <v>0</v>
      </c>
      <c r="H42">
        <v>0</v>
      </c>
      <c r="I42">
        <v>0</v>
      </c>
      <c r="J42">
        <v>0</v>
      </c>
      <c r="K42">
        <v>-9</v>
      </c>
      <c r="L42">
        <v>3</v>
      </c>
      <c r="M42">
        <v>43</v>
      </c>
    </row>
    <row r="43" spans="1:13">
      <c r="A43">
        <v>11</v>
      </c>
      <c r="B43">
        <v>1</v>
      </c>
      <c r="C43" t="s">
        <v>148</v>
      </c>
      <c r="D43">
        <v>3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-7</v>
      </c>
      <c r="L43">
        <v>3</v>
      </c>
      <c r="M43">
        <v>44</v>
      </c>
    </row>
    <row r="44" spans="1:13">
      <c r="A44">
        <v>12</v>
      </c>
      <c r="B44">
        <v>1</v>
      </c>
      <c r="C44" t="s">
        <v>153</v>
      </c>
      <c r="D44">
        <v>3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-4</v>
      </c>
      <c r="L44">
        <v>3</v>
      </c>
      <c r="M44">
        <v>45</v>
      </c>
    </row>
    <row r="45" spans="1:13">
      <c r="A45">
        <v>12</v>
      </c>
      <c r="B45">
        <v>1</v>
      </c>
      <c r="C45" t="s">
        <v>154</v>
      </c>
      <c r="D45">
        <v>3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-4</v>
      </c>
      <c r="L45">
        <v>3</v>
      </c>
      <c r="M45">
        <v>46</v>
      </c>
    </row>
    <row r="46" spans="1:13">
      <c r="A46">
        <v>12</v>
      </c>
      <c r="B46">
        <v>1</v>
      </c>
      <c r="C46" t="s">
        <v>156</v>
      </c>
      <c r="D46">
        <v>3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  <c r="K46">
        <v>-6</v>
      </c>
      <c r="L46">
        <v>3</v>
      </c>
      <c r="M46">
        <v>47</v>
      </c>
    </row>
    <row r="47" spans="1:13">
      <c r="A47">
        <v>12</v>
      </c>
      <c r="B47">
        <v>1</v>
      </c>
      <c r="C47" t="s">
        <v>158</v>
      </c>
      <c r="D47">
        <v>3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>
        <v>-1</v>
      </c>
      <c r="L47">
        <v>3</v>
      </c>
      <c r="M47">
        <v>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A1" sqref="A1"/>
    </sheetView>
  </sheetViews>
  <sheetFormatPr defaultColWidth="8.88888888888889" defaultRowHeight="18.75"/>
  <sheetData>
    <row r="1" spans="1:13">
      <c r="A1" t="s">
        <v>163</v>
      </c>
      <c r="B1" t="s">
        <v>164</v>
      </c>
      <c r="C1" t="s">
        <v>3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6</v>
      </c>
      <c r="L1" t="s">
        <v>172</v>
      </c>
      <c r="M1" t="s">
        <v>173</v>
      </c>
    </row>
    <row r="2" spans="1:13">
      <c r="A2" s="15" t="s">
        <v>35</v>
      </c>
      <c r="B2">
        <v>1</v>
      </c>
      <c r="C2" t="s">
        <v>12</v>
      </c>
      <c r="D2">
        <v>3</v>
      </c>
      <c r="E2">
        <v>2</v>
      </c>
      <c r="F2">
        <v>0</v>
      </c>
      <c r="G2">
        <v>1</v>
      </c>
      <c r="H2">
        <v>6</v>
      </c>
      <c r="I2">
        <v>3</v>
      </c>
      <c r="J2">
        <v>3</v>
      </c>
      <c r="K2">
        <v>-8</v>
      </c>
      <c r="L2">
        <v>6</v>
      </c>
      <c r="M2">
        <v>1</v>
      </c>
    </row>
    <row r="3" spans="1:13">
      <c r="A3" s="15" t="s">
        <v>35</v>
      </c>
      <c r="B3">
        <v>1</v>
      </c>
      <c r="C3" t="s">
        <v>15</v>
      </c>
      <c r="D3">
        <v>3</v>
      </c>
      <c r="E3">
        <v>2</v>
      </c>
      <c r="F3">
        <v>0</v>
      </c>
      <c r="G3">
        <v>1</v>
      </c>
      <c r="H3">
        <v>6</v>
      </c>
      <c r="I3">
        <v>3</v>
      </c>
      <c r="J3">
        <v>3</v>
      </c>
      <c r="K3">
        <v>-13</v>
      </c>
      <c r="L3">
        <v>6</v>
      </c>
      <c r="M3">
        <v>2</v>
      </c>
    </row>
    <row r="4" spans="1:13">
      <c r="A4" s="15" t="s">
        <v>35</v>
      </c>
      <c r="B4">
        <v>3</v>
      </c>
      <c r="C4" t="s">
        <v>18</v>
      </c>
      <c r="D4">
        <v>3</v>
      </c>
      <c r="E4">
        <v>1</v>
      </c>
      <c r="F4">
        <v>0</v>
      </c>
      <c r="G4">
        <v>2</v>
      </c>
      <c r="H4">
        <v>3</v>
      </c>
      <c r="I4">
        <v>6</v>
      </c>
      <c r="J4">
        <v>-3</v>
      </c>
      <c r="K4">
        <v>-7</v>
      </c>
      <c r="L4">
        <v>3</v>
      </c>
      <c r="M4">
        <v>3</v>
      </c>
    </row>
    <row r="5" spans="1:13">
      <c r="A5" s="15" t="s">
        <v>35</v>
      </c>
      <c r="B5">
        <v>3</v>
      </c>
      <c r="C5" t="s">
        <v>26</v>
      </c>
      <c r="D5">
        <v>3</v>
      </c>
      <c r="E5">
        <v>1</v>
      </c>
      <c r="F5">
        <v>0</v>
      </c>
      <c r="G5">
        <v>2</v>
      </c>
      <c r="H5">
        <v>3</v>
      </c>
      <c r="I5">
        <v>6</v>
      </c>
      <c r="J5">
        <v>-3</v>
      </c>
      <c r="K5">
        <v>-4</v>
      </c>
      <c r="L5">
        <v>3</v>
      </c>
      <c r="M5">
        <v>4</v>
      </c>
    </row>
    <row r="6" spans="1:13">
      <c r="A6" s="15" t="s">
        <v>37</v>
      </c>
      <c r="B6">
        <v>1</v>
      </c>
      <c r="C6" t="s">
        <v>40</v>
      </c>
      <c r="D6">
        <v>3</v>
      </c>
      <c r="E6">
        <v>2</v>
      </c>
      <c r="F6">
        <v>0</v>
      </c>
      <c r="G6">
        <v>1</v>
      </c>
      <c r="H6">
        <v>12</v>
      </c>
      <c r="I6">
        <v>3</v>
      </c>
      <c r="J6">
        <v>9</v>
      </c>
      <c r="K6">
        <v>-1</v>
      </c>
      <c r="L6">
        <v>6</v>
      </c>
      <c r="M6">
        <v>5</v>
      </c>
    </row>
    <row r="7" spans="1:13">
      <c r="A7" s="15" t="s">
        <v>37</v>
      </c>
      <c r="B7">
        <v>1</v>
      </c>
      <c r="C7" t="s">
        <v>43</v>
      </c>
      <c r="D7">
        <v>3</v>
      </c>
      <c r="E7">
        <v>2</v>
      </c>
      <c r="F7">
        <v>0</v>
      </c>
      <c r="G7">
        <v>1</v>
      </c>
      <c r="H7">
        <v>9</v>
      </c>
      <c r="I7">
        <v>9</v>
      </c>
      <c r="J7">
        <v>0</v>
      </c>
      <c r="K7">
        <v>-9</v>
      </c>
      <c r="L7">
        <v>6</v>
      </c>
      <c r="M7">
        <v>6</v>
      </c>
    </row>
    <row r="8" spans="1:13">
      <c r="A8" s="15" t="s">
        <v>37</v>
      </c>
      <c r="B8">
        <v>1</v>
      </c>
      <c r="C8" t="s">
        <v>49</v>
      </c>
      <c r="D8">
        <v>3</v>
      </c>
      <c r="E8">
        <v>2</v>
      </c>
      <c r="F8">
        <v>0</v>
      </c>
      <c r="G8">
        <v>1</v>
      </c>
      <c r="H8">
        <v>6</v>
      </c>
      <c r="I8">
        <v>6</v>
      </c>
      <c r="J8">
        <v>0</v>
      </c>
      <c r="K8">
        <v>-1</v>
      </c>
      <c r="L8">
        <v>6</v>
      </c>
      <c r="M8">
        <v>7</v>
      </c>
    </row>
    <row r="9" spans="1:13">
      <c r="A9" s="15" t="s">
        <v>37</v>
      </c>
      <c r="B9">
        <v>4</v>
      </c>
      <c r="C9" t="s">
        <v>53</v>
      </c>
      <c r="D9">
        <v>3</v>
      </c>
      <c r="E9">
        <v>0</v>
      </c>
      <c r="F9">
        <v>0</v>
      </c>
      <c r="G9">
        <v>3</v>
      </c>
      <c r="H9">
        <v>0</v>
      </c>
      <c r="I9">
        <v>9</v>
      </c>
      <c r="J9">
        <v>-9</v>
      </c>
      <c r="K9">
        <v>-2</v>
      </c>
      <c r="L9">
        <v>0</v>
      </c>
      <c r="M9">
        <v>8</v>
      </c>
    </row>
    <row r="10" spans="1:13">
      <c r="A10" s="15" t="s">
        <v>41</v>
      </c>
      <c r="B10">
        <v>1</v>
      </c>
      <c r="C10" t="s">
        <v>63</v>
      </c>
      <c r="D10">
        <v>3</v>
      </c>
      <c r="E10">
        <v>2</v>
      </c>
      <c r="F10">
        <v>0</v>
      </c>
      <c r="G10">
        <v>1</v>
      </c>
      <c r="H10">
        <v>7</v>
      </c>
      <c r="I10">
        <v>4</v>
      </c>
      <c r="J10">
        <v>3</v>
      </c>
      <c r="K10">
        <v>-4</v>
      </c>
      <c r="L10">
        <v>6</v>
      </c>
      <c r="M10">
        <v>9</v>
      </c>
    </row>
    <row r="11" spans="1:13">
      <c r="A11" s="15" t="s">
        <v>41</v>
      </c>
      <c r="B11">
        <v>1</v>
      </c>
      <c r="C11" t="s">
        <v>64</v>
      </c>
      <c r="D11">
        <v>3</v>
      </c>
      <c r="E11">
        <v>2</v>
      </c>
      <c r="F11">
        <v>0</v>
      </c>
      <c r="G11">
        <v>1</v>
      </c>
      <c r="H11">
        <v>7</v>
      </c>
      <c r="I11">
        <v>4</v>
      </c>
      <c r="J11">
        <v>3</v>
      </c>
      <c r="K11">
        <v>-2</v>
      </c>
      <c r="L11">
        <v>6</v>
      </c>
      <c r="M11">
        <v>10</v>
      </c>
    </row>
    <row r="12" spans="1:13">
      <c r="A12" s="15" t="s">
        <v>41</v>
      </c>
      <c r="B12">
        <v>1</v>
      </c>
      <c r="C12" t="s">
        <v>66</v>
      </c>
      <c r="D12">
        <v>3</v>
      </c>
      <c r="E12">
        <v>2</v>
      </c>
      <c r="F12">
        <v>0</v>
      </c>
      <c r="G12">
        <v>1</v>
      </c>
      <c r="H12">
        <v>6</v>
      </c>
      <c r="I12">
        <v>3</v>
      </c>
      <c r="J12">
        <v>3</v>
      </c>
      <c r="K12">
        <v>-3</v>
      </c>
      <c r="L12">
        <v>6</v>
      </c>
      <c r="M12">
        <v>11</v>
      </c>
    </row>
    <row r="13" spans="1:13">
      <c r="A13" s="15" t="s">
        <v>41</v>
      </c>
      <c r="B13">
        <v>4</v>
      </c>
      <c r="C13" t="s">
        <v>68</v>
      </c>
      <c r="D13">
        <v>3</v>
      </c>
      <c r="E13">
        <v>0</v>
      </c>
      <c r="F13">
        <v>0</v>
      </c>
      <c r="G13">
        <v>3</v>
      </c>
      <c r="H13">
        <v>0</v>
      </c>
      <c r="I13">
        <v>9</v>
      </c>
      <c r="J13">
        <v>-9</v>
      </c>
      <c r="K13">
        <v>0</v>
      </c>
      <c r="L13">
        <v>0</v>
      </c>
      <c r="M13">
        <v>12</v>
      </c>
    </row>
    <row r="14" spans="1:13">
      <c r="A14" s="15" t="s">
        <v>44</v>
      </c>
      <c r="B14">
        <v>1</v>
      </c>
      <c r="C14" t="s">
        <v>73</v>
      </c>
      <c r="D14">
        <v>3</v>
      </c>
      <c r="E14">
        <v>1</v>
      </c>
      <c r="F14">
        <v>1</v>
      </c>
      <c r="G14">
        <v>1</v>
      </c>
      <c r="H14">
        <v>4</v>
      </c>
      <c r="I14">
        <v>4</v>
      </c>
      <c r="J14">
        <v>0</v>
      </c>
      <c r="K14">
        <v>-4</v>
      </c>
      <c r="L14">
        <v>4</v>
      </c>
      <c r="M14">
        <v>13</v>
      </c>
    </row>
    <row r="15" spans="1:13">
      <c r="A15" s="15" t="s">
        <v>44</v>
      </c>
      <c r="B15">
        <v>1</v>
      </c>
      <c r="C15" t="s">
        <v>74</v>
      </c>
      <c r="D15">
        <v>3</v>
      </c>
      <c r="E15">
        <v>1</v>
      </c>
      <c r="F15">
        <v>1</v>
      </c>
      <c r="G15">
        <v>1</v>
      </c>
      <c r="H15">
        <v>6</v>
      </c>
      <c r="I15">
        <v>6</v>
      </c>
      <c r="J15">
        <v>0</v>
      </c>
      <c r="K15">
        <v>-1</v>
      </c>
      <c r="L15">
        <v>4</v>
      </c>
      <c r="M15">
        <v>14</v>
      </c>
    </row>
    <row r="16" spans="1:13">
      <c r="A16" s="15" t="s">
        <v>44</v>
      </c>
      <c r="B16">
        <v>1</v>
      </c>
      <c r="C16" t="s">
        <v>76</v>
      </c>
      <c r="D16">
        <v>3</v>
      </c>
      <c r="E16">
        <v>1</v>
      </c>
      <c r="F16">
        <v>1</v>
      </c>
      <c r="G16">
        <v>1</v>
      </c>
      <c r="H16">
        <v>4</v>
      </c>
      <c r="I16">
        <v>4</v>
      </c>
      <c r="J16">
        <v>0</v>
      </c>
      <c r="K16">
        <v>-1</v>
      </c>
      <c r="L16">
        <v>4</v>
      </c>
      <c r="M16">
        <v>15</v>
      </c>
    </row>
    <row r="17" spans="1:13">
      <c r="A17" s="15" t="s">
        <v>44</v>
      </c>
      <c r="B17">
        <v>1</v>
      </c>
      <c r="C17" t="s">
        <v>78</v>
      </c>
      <c r="D17">
        <v>3</v>
      </c>
      <c r="E17">
        <v>1</v>
      </c>
      <c r="F17">
        <v>1</v>
      </c>
      <c r="G17">
        <v>1</v>
      </c>
      <c r="H17">
        <v>2</v>
      </c>
      <c r="I17">
        <v>2</v>
      </c>
      <c r="J17">
        <v>0</v>
      </c>
      <c r="K17">
        <v>-4</v>
      </c>
      <c r="L17">
        <v>4</v>
      </c>
      <c r="M17">
        <v>16</v>
      </c>
    </row>
    <row r="18" spans="1:13">
      <c r="A18" s="15" t="s">
        <v>47</v>
      </c>
      <c r="B18">
        <v>1</v>
      </c>
      <c r="C18" t="s">
        <v>83</v>
      </c>
      <c r="D18">
        <v>3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-3</v>
      </c>
      <c r="L18">
        <v>3</v>
      </c>
      <c r="M18">
        <v>17</v>
      </c>
    </row>
    <row r="19" spans="1:13">
      <c r="A19" s="15" t="s">
        <v>47</v>
      </c>
      <c r="B19">
        <v>1</v>
      </c>
      <c r="C19" t="s">
        <v>84</v>
      </c>
      <c r="D19">
        <v>3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-5</v>
      </c>
      <c r="L19">
        <v>3</v>
      </c>
      <c r="M19">
        <v>18</v>
      </c>
    </row>
    <row r="20" spans="1:13">
      <c r="A20" s="15" t="s">
        <v>47</v>
      </c>
      <c r="B20">
        <v>1</v>
      </c>
      <c r="C20" t="s">
        <v>86</v>
      </c>
      <c r="D20">
        <v>3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  <c r="K20">
        <v>-9</v>
      </c>
      <c r="L20">
        <v>3</v>
      </c>
      <c r="M20">
        <v>19</v>
      </c>
    </row>
    <row r="21" spans="1:13">
      <c r="A21" s="15" t="s">
        <v>47</v>
      </c>
      <c r="B21">
        <v>1</v>
      </c>
      <c r="C21" t="s">
        <v>88</v>
      </c>
      <c r="D21">
        <v>3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-14</v>
      </c>
      <c r="L21">
        <v>3</v>
      </c>
      <c r="M21">
        <v>20</v>
      </c>
    </row>
    <row r="22" spans="1:13">
      <c r="A22" s="15" t="s">
        <v>50</v>
      </c>
      <c r="B22">
        <v>1</v>
      </c>
      <c r="C22" t="s">
        <v>93</v>
      </c>
      <c r="D22">
        <v>3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-3</v>
      </c>
      <c r="L22">
        <v>3</v>
      </c>
      <c r="M22">
        <v>21</v>
      </c>
    </row>
    <row r="23" spans="1:13">
      <c r="A23" s="15" t="s">
        <v>50</v>
      </c>
      <c r="B23">
        <v>1</v>
      </c>
      <c r="C23" t="s">
        <v>94</v>
      </c>
      <c r="D23">
        <v>3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-4</v>
      </c>
      <c r="L23">
        <v>3</v>
      </c>
      <c r="M23">
        <v>22</v>
      </c>
    </row>
    <row r="24" spans="1:13">
      <c r="A24" s="15" t="s">
        <v>50</v>
      </c>
      <c r="B24">
        <v>1</v>
      </c>
      <c r="C24" t="s">
        <v>96</v>
      </c>
      <c r="D24">
        <v>3</v>
      </c>
      <c r="E24">
        <v>0</v>
      </c>
      <c r="F24">
        <v>3</v>
      </c>
      <c r="G24">
        <v>0</v>
      </c>
      <c r="H24">
        <v>0</v>
      </c>
      <c r="I24">
        <v>0</v>
      </c>
      <c r="J24">
        <v>0</v>
      </c>
      <c r="K24">
        <v>-6</v>
      </c>
      <c r="L24">
        <v>3</v>
      </c>
      <c r="M24">
        <v>23</v>
      </c>
    </row>
    <row r="25" spans="1:13">
      <c r="A25" s="15" t="s">
        <v>50</v>
      </c>
      <c r="B25">
        <v>1</v>
      </c>
      <c r="C25" t="s">
        <v>98</v>
      </c>
      <c r="D25">
        <v>3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-8</v>
      </c>
      <c r="L25">
        <v>3</v>
      </c>
      <c r="M25">
        <v>24</v>
      </c>
    </row>
    <row r="26" spans="1:13">
      <c r="A26" s="15" t="s">
        <v>52</v>
      </c>
      <c r="B26">
        <v>1</v>
      </c>
      <c r="C26" t="s">
        <v>103</v>
      </c>
      <c r="D26">
        <v>3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-7</v>
      </c>
      <c r="L26">
        <v>3</v>
      </c>
      <c r="M26">
        <v>25</v>
      </c>
    </row>
    <row r="27" spans="1:13">
      <c r="A27" s="15" t="s">
        <v>52</v>
      </c>
      <c r="B27">
        <v>1</v>
      </c>
      <c r="C27" t="s">
        <v>104</v>
      </c>
      <c r="D27">
        <v>3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-6</v>
      </c>
      <c r="L27">
        <v>3</v>
      </c>
      <c r="M27">
        <v>26</v>
      </c>
    </row>
    <row r="28" spans="1:13">
      <c r="A28" s="15" t="s">
        <v>52</v>
      </c>
      <c r="B28">
        <v>1</v>
      </c>
      <c r="C28" t="s">
        <v>106</v>
      </c>
      <c r="D28">
        <v>3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-2</v>
      </c>
      <c r="L28">
        <v>3</v>
      </c>
      <c r="M28">
        <v>27</v>
      </c>
    </row>
    <row r="29" spans="1:13">
      <c r="A29" s="15" t="s">
        <v>52</v>
      </c>
      <c r="B29">
        <v>1</v>
      </c>
      <c r="C29" t="s">
        <v>108</v>
      </c>
      <c r="D29">
        <v>3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-5</v>
      </c>
      <c r="L29">
        <v>3</v>
      </c>
      <c r="M29">
        <v>28</v>
      </c>
    </row>
    <row r="30" spans="1:13">
      <c r="A30" s="15" t="s">
        <v>54</v>
      </c>
      <c r="B30">
        <v>1</v>
      </c>
      <c r="C30" t="s">
        <v>113</v>
      </c>
      <c r="D30">
        <v>3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-2</v>
      </c>
      <c r="L30">
        <v>3</v>
      </c>
      <c r="M30">
        <v>29</v>
      </c>
    </row>
    <row r="31" spans="1:13">
      <c r="A31" s="15" t="s">
        <v>54</v>
      </c>
      <c r="B31">
        <v>1</v>
      </c>
      <c r="C31" t="s">
        <v>114</v>
      </c>
      <c r="D31">
        <v>3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-2</v>
      </c>
      <c r="L31">
        <v>3</v>
      </c>
      <c r="M31">
        <v>30</v>
      </c>
    </row>
    <row r="32" spans="1:13">
      <c r="A32" s="15" t="s">
        <v>54</v>
      </c>
      <c r="B32">
        <v>1</v>
      </c>
      <c r="C32" t="s">
        <v>116</v>
      </c>
      <c r="D32">
        <v>3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-4</v>
      </c>
      <c r="L32">
        <v>3</v>
      </c>
      <c r="M32">
        <v>31</v>
      </c>
    </row>
    <row r="33" spans="1:13">
      <c r="A33" s="15" t="s">
        <v>54</v>
      </c>
      <c r="B33">
        <v>1</v>
      </c>
      <c r="C33" t="s">
        <v>118</v>
      </c>
      <c r="D33">
        <v>3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-3</v>
      </c>
      <c r="L33">
        <v>3</v>
      </c>
      <c r="M33">
        <v>32</v>
      </c>
    </row>
    <row r="34" spans="1:13">
      <c r="A34" s="15" t="s">
        <v>56</v>
      </c>
      <c r="B34">
        <v>1</v>
      </c>
      <c r="C34" t="s">
        <v>123</v>
      </c>
      <c r="D34">
        <v>3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-3</v>
      </c>
      <c r="L34">
        <v>3</v>
      </c>
      <c r="M34">
        <v>33</v>
      </c>
    </row>
    <row r="35" spans="1:13">
      <c r="A35" s="15" t="s">
        <v>56</v>
      </c>
      <c r="B35">
        <v>1</v>
      </c>
      <c r="C35" t="s">
        <v>124</v>
      </c>
      <c r="D35">
        <v>3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-2</v>
      </c>
      <c r="L35">
        <v>3</v>
      </c>
      <c r="M35">
        <v>34</v>
      </c>
    </row>
    <row r="36" spans="1:13">
      <c r="A36" s="15" t="s">
        <v>56</v>
      </c>
      <c r="B36">
        <v>1</v>
      </c>
      <c r="C36" t="s">
        <v>126</v>
      </c>
      <c r="D36">
        <v>3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-5</v>
      </c>
      <c r="L36">
        <v>3</v>
      </c>
      <c r="M36">
        <v>35</v>
      </c>
    </row>
    <row r="37" spans="1:13">
      <c r="A37" s="15" t="s">
        <v>56</v>
      </c>
      <c r="B37">
        <v>1</v>
      </c>
      <c r="C37" t="s">
        <v>128</v>
      </c>
      <c r="D37">
        <v>3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-4</v>
      </c>
      <c r="L37">
        <v>3</v>
      </c>
      <c r="M37">
        <v>36</v>
      </c>
    </row>
    <row r="38" spans="1:13">
      <c r="A38">
        <v>10</v>
      </c>
      <c r="B38">
        <v>1</v>
      </c>
      <c r="C38" t="s">
        <v>133</v>
      </c>
      <c r="D38">
        <v>3</v>
      </c>
      <c r="E38">
        <v>0</v>
      </c>
      <c r="F38">
        <v>3</v>
      </c>
      <c r="G38">
        <v>0</v>
      </c>
      <c r="H38">
        <v>0</v>
      </c>
      <c r="I38">
        <v>0</v>
      </c>
      <c r="J38">
        <v>0</v>
      </c>
      <c r="K38">
        <v>-6</v>
      </c>
      <c r="L38">
        <v>3</v>
      </c>
      <c r="M38">
        <v>37</v>
      </c>
    </row>
    <row r="39" spans="1:13">
      <c r="A39">
        <v>10</v>
      </c>
      <c r="B39">
        <v>1</v>
      </c>
      <c r="C39" t="s">
        <v>134</v>
      </c>
      <c r="D39">
        <v>3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-1</v>
      </c>
      <c r="L39">
        <v>3</v>
      </c>
      <c r="M39">
        <v>38</v>
      </c>
    </row>
    <row r="40" spans="1:13">
      <c r="A40">
        <v>10</v>
      </c>
      <c r="B40">
        <v>1</v>
      </c>
      <c r="C40" t="s">
        <v>136</v>
      </c>
      <c r="D40">
        <v>3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-2</v>
      </c>
      <c r="L40">
        <v>3</v>
      </c>
      <c r="M40">
        <v>39</v>
      </c>
    </row>
    <row r="41" spans="1:13">
      <c r="A41">
        <v>10</v>
      </c>
      <c r="B41">
        <v>1</v>
      </c>
      <c r="C41" t="s">
        <v>138</v>
      </c>
      <c r="D41">
        <v>3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  <c r="K41">
        <v>-4</v>
      </c>
      <c r="L41">
        <v>3</v>
      </c>
      <c r="M41">
        <v>40</v>
      </c>
    </row>
    <row r="42" spans="1:13">
      <c r="A42">
        <v>11</v>
      </c>
      <c r="B42">
        <v>1</v>
      </c>
      <c r="C42" t="s">
        <v>143</v>
      </c>
      <c r="D42">
        <v>3</v>
      </c>
      <c r="E42">
        <v>0</v>
      </c>
      <c r="F42">
        <v>3</v>
      </c>
      <c r="G42">
        <v>0</v>
      </c>
      <c r="H42">
        <v>0</v>
      </c>
      <c r="I42">
        <v>0</v>
      </c>
      <c r="J42">
        <v>0</v>
      </c>
      <c r="K42">
        <v>-4</v>
      </c>
      <c r="L42">
        <v>3</v>
      </c>
      <c r="M42">
        <v>41</v>
      </c>
    </row>
    <row r="43" spans="1:13">
      <c r="A43">
        <v>11</v>
      </c>
      <c r="B43">
        <v>1</v>
      </c>
      <c r="C43" t="s">
        <v>144</v>
      </c>
      <c r="D43">
        <v>3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-11</v>
      </c>
      <c r="L43">
        <v>3</v>
      </c>
      <c r="M43">
        <v>42</v>
      </c>
    </row>
    <row r="44" spans="1:13">
      <c r="A44">
        <v>11</v>
      </c>
      <c r="B44">
        <v>1</v>
      </c>
      <c r="C44" t="s">
        <v>146</v>
      </c>
      <c r="D44">
        <v>3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-9</v>
      </c>
      <c r="L44">
        <v>3</v>
      </c>
      <c r="M44">
        <v>43</v>
      </c>
    </row>
    <row r="45" spans="1:13">
      <c r="A45">
        <v>11</v>
      </c>
      <c r="B45">
        <v>1</v>
      </c>
      <c r="C45" t="s">
        <v>148</v>
      </c>
      <c r="D45">
        <v>3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-7</v>
      </c>
      <c r="L45">
        <v>3</v>
      </c>
      <c r="M45">
        <v>44</v>
      </c>
    </row>
    <row r="46" spans="1:13">
      <c r="A46">
        <v>12</v>
      </c>
      <c r="B46">
        <v>1</v>
      </c>
      <c r="C46" t="s">
        <v>153</v>
      </c>
      <c r="D46">
        <v>3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  <c r="K46">
        <v>-4</v>
      </c>
      <c r="L46">
        <v>3</v>
      </c>
      <c r="M46">
        <v>45</v>
      </c>
    </row>
    <row r="47" spans="1:13">
      <c r="A47">
        <v>12</v>
      </c>
      <c r="B47">
        <v>1</v>
      </c>
      <c r="C47" t="s">
        <v>154</v>
      </c>
      <c r="D47">
        <v>3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>
        <v>-4</v>
      </c>
      <c r="L47">
        <v>3</v>
      </c>
      <c r="M47">
        <v>46</v>
      </c>
    </row>
    <row r="48" spans="1:13">
      <c r="A48">
        <v>12</v>
      </c>
      <c r="B48">
        <v>1</v>
      </c>
      <c r="C48" t="s">
        <v>156</v>
      </c>
      <c r="D48">
        <v>3</v>
      </c>
      <c r="E48">
        <v>0</v>
      </c>
      <c r="F48">
        <v>3</v>
      </c>
      <c r="G48">
        <v>0</v>
      </c>
      <c r="H48">
        <v>0</v>
      </c>
      <c r="I48">
        <v>0</v>
      </c>
      <c r="J48">
        <v>0</v>
      </c>
      <c r="K48">
        <v>-6</v>
      </c>
      <c r="L48">
        <v>3</v>
      </c>
      <c r="M48">
        <v>47</v>
      </c>
    </row>
    <row r="49" spans="1:13">
      <c r="A49">
        <v>12</v>
      </c>
      <c r="B49">
        <v>1</v>
      </c>
      <c r="C49" t="s">
        <v>158</v>
      </c>
      <c r="D49">
        <v>3</v>
      </c>
      <c r="E49">
        <v>0</v>
      </c>
      <c r="F49">
        <v>3</v>
      </c>
      <c r="G49">
        <v>0</v>
      </c>
      <c r="H49">
        <v>0</v>
      </c>
      <c r="I49">
        <v>0</v>
      </c>
      <c r="J49">
        <v>0</v>
      </c>
      <c r="K49">
        <v>-1</v>
      </c>
      <c r="L49">
        <v>3</v>
      </c>
      <c r="M49">
        <v>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51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  <col min="7" max="7" width="7.88888888888889" customWidth="1"/>
    <col min="8" max="8" width="22.3333333333333" customWidth="1"/>
    <col min="9" max="9" width="8.33333333333333" customWidth="1"/>
    <col min="10" max="16382" width="3.77777777777778" customWidth="1"/>
  </cols>
  <sheetData>
    <row r="2" spans="2:10">
      <c r="B2" s="1" t="s">
        <v>0</v>
      </c>
      <c r="C2" s="1"/>
      <c r="D2" s="1"/>
      <c r="E2" s="2" t="s">
        <v>1</v>
      </c>
      <c r="G2" s="3" t="s">
        <v>3</v>
      </c>
      <c r="H2" s="3" t="s">
        <v>174</v>
      </c>
      <c r="I2" s="3" t="s">
        <v>163</v>
      </c>
      <c r="J2" t="s">
        <v>175</v>
      </c>
    </row>
    <row r="3" spans="2:17">
      <c r="B3" s="4" t="s">
        <v>176</v>
      </c>
      <c r="C3" s="4"/>
      <c r="D3" s="4"/>
      <c r="E3" s="5" t="s">
        <v>177</v>
      </c>
      <c r="G3" s="7" t="s">
        <v>12</v>
      </c>
      <c r="H3" s="7" t="s">
        <v>12</v>
      </c>
      <c r="I3" s="7" t="s">
        <v>35</v>
      </c>
      <c r="J3" t="str">
        <f t="shared" ref="J3:J49" si="0">CHAR(9)&amp;"('"&amp;G3&amp;"', '"&amp;H3&amp;"', '"&amp;I3&amp;"'), "</f>
        <v>	('A01', 'A01', '01'), </v>
      </c>
      <c r="O3" t="str">
        <f t="shared" ref="O3:O57" si="1">CHAR(65+INT((ROW()-3)/4))</f>
        <v>A</v>
      </c>
      <c r="P3" t="str">
        <f>TEXT(ROW()-2,"00")</f>
        <v>01</v>
      </c>
      <c r="Q3" t="str">
        <f t="shared" ref="Q3:Q50" si="2">_xlfn.CONCAT(O3:P3)</f>
        <v>A01</v>
      </c>
    </row>
    <row r="4" spans="2:17">
      <c r="B4" s="1" t="s">
        <v>14</v>
      </c>
      <c r="C4" s="1"/>
      <c r="D4" s="1"/>
      <c r="E4" s="1"/>
      <c r="G4" s="7" t="s">
        <v>15</v>
      </c>
      <c r="H4" s="7" t="s">
        <v>15</v>
      </c>
      <c r="I4" s="7" t="s">
        <v>35</v>
      </c>
      <c r="J4" t="str">
        <f t="shared" si="0"/>
        <v>	('A02', 'A02', '01'), </v>
      </c>
      <c r="O4" t="str">
        <f t="shared" si="1"/>
        <v>A</v>
      </c>
      <c r="P4" t="str">
        <f>TEXT(ROW()-2,"00")</f>
        <v>02</v>
      </c>
      <c r="Q4" t="str">
        <f t="shared" si="2"/>
        <v>A02</v>
      </c>
    </row>
    <row r="5" spans="2:17">
      <c r="B5" s="4" t="s">
        <v>178</v>
      </c>
      <c r="C5" s="4"/>
      <c r="D5" s="4"/>
      <c r="E5" s="4"/>
      <c r="G5" s="7" t="s">
        <v>18</v>
      </c>
      <c r="H5" s="7" t="s">
        <v>18</v>
      </c>
      <c r="I5" s="7" t="s">
        <v>35</v>
      </c>
      <c r="J5" t="str">
        <f t="shared" si="0"/>
        <v>	('A03', 'A03', '01'), </v>
      </c>
      <c r="O5" t="str">
        <f t="shared" si="1"/>
        <v>A</v>
      </c>
      <c r="P5" t="str">
        <f>TEXT(ROW()-2,"00")</f>
        <v>03</v>
      </c>
      <c r="Q5" t="str">
        <f t="shared" si="2"/>
        <v>A03</v>
      </c>
    </row>
    <row r="6" spans="7:17">
      <c r="G6" s="7" t="s">
        <v>26</v>
      </c>
      <c r="H6" s="7" t="s">
        <v>26</v>
      </c>
      <c r="I6" s="7" t="s">
        <v>35</v>
      </c>
      <c r="J6" t="str">
        <f t="shared" si="0"/>
        <v>	('A04', 'A04', '01'), </v>
      </c>
      <c r="O6" t="str">
        <f t="shared" si="1"/>
        <v>A</v>
      </c>
      <c r="P6" t="str">
        <f>TEXT(ROW()-2,"00")</f>
        <v>04</v>
      </c>
      <c r="Q6" t="str">
        <f t="shared" si="2"/>
        <v>A04</v>
      </c>
    </row>
    <row r="7" spans="2:17">
      <c r="B7" s="8" t="s">
        <v>19</v>
      </c>
      <c r="C7" s="8" t="s">
        <v>20</v>
      </c>
      <c r="D7" s="8" t="s">
        <v>21</v>
      </c>
      <c r="E7" s="8" t="s">
        <v>14</v>
      </c>
      <c r="G7" s="7" t="s">
        <v>40</v>
      </c>
      <c r="H7" s="7" t="s">
        <v>40</v>
      </c>
      <c r="I7" s="7" t="s">
        <v>37</v>
      </c>
      <c r="J7" t="str">
        <f t="shared" si="0"/>
        <v>	('B01', 'B01', '02'), </v>
      </c>
      <c r="O7" t="str">
        <f t="shared" si="1"/>
        <v>B</v>
      </c>
      <c r="P7" t="str">
        <f t="shared" ref="P7:P50" si="3">P3</f>
        <v>01</v>
      </c>
      <c r="Q7" t="str">
        <f t="shared" si="2"/>
        <v>B01</v>
      </c>
    </row>
    <row r="8" spans="2:17">
      <c r="B8" s="9" t="s">
        <v>3</v>
      </c>
      <c r="C8" s="5" t="s">
        <v>23</v>
      </c>
      <c r="D8" s="5" t="s">
        <v>24</v>
      </c>
      <c r="E8" s="9" t="s">
        <v>27</v>
      </c>
      <c r="G8" s="7" t="s">
        <v>43</v>
      </c>
      <c r="H8" s="7" t="s">
        <v>43</v>
      </c>
      <c r="I8" s="7" t="s">
        <v>37</v>
      </c>
      <c r="J8" t="str">
        <f t="shared" si="0"/>
        <v>	('B02', 'B02', '02'), </v>
      </c>
      <c r="O8" t="str">
        <f t="shared" si="1"/>
        <v>B</v>
      </c>
      <c r="P8" t="str">
        <f t="shared" si="3"/>
        <v>02</v>
      </c>
      <c r="Q8" t="str">
        <f t="shared" si="2"/>
        <v>B02</v>
      </c>
    </row>
    <row r="9" spans="2:17">
      <c r="B9" s="9" t="s">
        <v>174</v>
      </c>
      <c r="C9" s="5"/>
      <c r="D9" s="5" t="s">
        <v>24</v>
      </c>
      <c r="E9" s="9" t="s">
        <v>179</v>
      </c>
      <c r="G9" s="7" t="s">
        <v>49</v>
      </c>
      <c r="H9" s="7" t="s">
        <v>49</v>
      </c>
      <c r="I9" s="7" t="s">
        <v>37</v>
      </c>
      <c r="J9" t="str">
        <f t="shared" si="0"/>
        <v>	('B03', 'B03', '02'), </v>
      </c>
      <c r="O9" t="str">
        <f t="shared" si="1"/>
        <v>B</v>
      </c>
      <c r="P9" t="str">
        <f t="shared" si="3"/>
        <v>03</v>
      </c>
      <c r="Q9" t="str">
        <f t="shared" si="2"/>
        <v>B03</v>
      </c>
    </row>
    <row r="10" spans="2:17">
      <c r="B10" s="9" t="s">
        <v>163</v>
      </c>
      <c r="C10" s="5"/>
      <c r="D10" s="5" t="s">
        <v>24</v>
      </c>
      <c r="E10" s="9" t="s">
        <v>180</v>
      </c>
      <c r="G10" s="7" t="s">
        <v>53</v>
      </c>
      <c r="H10" s="7" t="s">
        <v>53</v>
      </c>
      <c r="I10" s="7" t="s">
        <v>37</v>
      </c>
      <c r="J10" t="str">
        <f t="shared" si="0"/>
        <v>	('B04', 'B04', '02'), </v>
      </c>
      <c r="O10" t="str">
        <f t="shared" si="1"/>
        <v>B</v>
      </c>
      <c r="P10" t="str">
        <f t="shared" si="3"/>
        <v>04</v>
      </c>
      <c r="Q10" t="str">
        <f t="shared" si="2"/>
        <v>B04</v>
      </c>
    </row>
    <row r="11" spans="2:17">
      <c r="B11" s="9"/>
      <c r="C11" s="5"/>
      <c r="D11" s="5"/>
      <c r="E11" s="9"/>
      <c r="G11" s="7" t="s">
        <v>63</v>
      </c>
      <c r="H11" s="7" t="s">
        <v>63</v>
      </c>
      <c r="I11" s="7" t="s">
        <v>41</v>
      </c>
      <c r="J11" t="str">
        <f t="shared" si="0"/>
        <v>	('C01', 'C01', '03'), </v>
      </c>
      <c r="O11" t="str">
        <f t="shared" si="1"/>
        <v>C</v>
      </c>
      <c r="P11" t="str">
        <f t="shared" si="3"/>
        <v>01</v>
      </c>
      <c r="Q11" t="str">
        <f t="shared" si="2"/>
        <v>C01</v>
      </c>
    </row>
    <row r="12" spans="2:17">
      <c r="B12" s="9"/>
      <c r="C12" s="5"/>
      <c r="D12" s="5"/>
      <c r="E12" s="9"/>
      <c r="G12" s="7" t="s">
        <v>64</v>
      </c>
      <c r="H12" s="7" t="s">
        <v>64</v>
      </c>
      <c r="I12" s="7" t="s">
        <v>41</v>
      </c>
      <c r="J12" t="str">
        <f t="shared" si="0"/>
        <v>	('C02', 'C02', '03'), </v>
      </c>
      <c r="O12" t="str">
        <f t="shared" si="1"/>
        <v>C</v>
      </c>
      <c r="P12" t="str">
        <f t="shared" si="3"/>
        <v>02</v>
      </c>
      <c r="Q12" t="str">
        <f t="shared" si="2"/>
        <v>C02</v>
      </c>
    </row>
    <row r="13" spans="7:17">
      <c r="G13" s="7" t="s">
        <v>66</v>
      </c>
      <c r="H13" s="7" t="s">
        <v>66</v>
      </c>
      <c r="I13" s="7" t="s">
        <v>41</v>
      </c>
      <c r="J13" t="str">
        <f t="shared" si="0"/>
        <v>	('C03', 'C03', '03'), </v>
      </c>
      <c r="O13" t="str">
        <f t="shared" si="1"/>
        <v>C</v>
      </c>
      <c r="P13" t="str">
        <f t="shared" si="3"/>
        <v>03</v>
      </c>
      <c r="Q13" t="str">
        <f t="shared" si="2"/>
        <v>C03</v>
      </c>
    </row>
    <row r="14" spans="7:17">
      <c r="G14" s="7" t="s">
        <v>68</v>
      </c>
      <c r="H14" s="7" t="s">
        <v>68</v>
      </c>
      <c r="I14" s="7" t="s">
        <v>41</v>
      </c>
      <c r="J14" t="str">
        <f t="shared" si="0"/>
        <v>	('C04', 'C04', '03'), </v>
      </c>
      <c r="O14" t="str">
        <f t="shared" si="1"/>
        <v>C</v>
      </c>
      <c r="P14" t="str">
        <f t="shared" si="3"/>
        <v>04</v>
      </c>
      <c r="Q14" t="str">
        <f t="shared" si="2"/>
        <v>C04</v>
      </c>
    </row>
    <row r="15" spans="7:17">
      <c r="G15" s="7" t="s">
        <v>73</v>
      </c>
      <c r="H15" s="7" t="s">
        <v>73</v>
      </c>
      <c r="I15" s="7" t="s">
        <v>44</v>
      </c>
      <c r="J15" t="str">
        <f t="shared" si="0"/>
        <v>	('D01', 'D01', '04'), </v>
      </c>
      <c r="O15" t="str">
        <f t="shared" si="1"/>
        <v>D</v>
      </c>
      <c r="P15" t="str">
        <f t="shared" si="3"/>
        <v>01</v>
      </c>
      <c r="Q15" t="str">
        <f t="shared" si="2"/>
        <v>D01</v>
      </c>
    </row>
    <row r="16" spans="7:17">
      <c r="G16" s="7" t="s">
        <v>74</v>
      </c>
      <c r="H16" s="7" t="s">
        <v>74</v>
      </c>
      <c r="I16" s="7" t="s">
        <v>44</v>
      </c>
      <c r="J16" t="str">
        <f t="shared" si="0"/>
        <v>	('D02', 'D02', '04'), </v>
      </c>
      <c r="O16" t="str">
        <f t="shared" si="1"/>
        <v>D</v>
      </c>
      <c r="P16" t="str">
        <f t="shared" si="3"/>
        <v>02</v>
      </c>
      <c r="Q16" t="str">
        <f t="shared" si="2"/>
        <v>D02</v>
      </c>
    </row>
    <row r="17" spans="7:17">
      <c r="G17" s="7" t="s">
        <v>76</v>
      </c>
      <c r="H17" s="7" t="s">
        <v>76</v>
      </c>
      <c r="I17" s="7" t="s">
        <v>44</v>
      </c>
      <c r="J17" t="str">
        <f t="shared" si="0"/>
        <v>	('D03', 'D03', '04'), </v>
      </c>
      <c r="O17" t="str">
        <f t="shared" si="1"/>
        <v>D</v>
      </c>
      <c r="P17" t="str">
        <f t="shared" si="3"/>
        <v>03</v>
      </c>
      <c r="Q17" t="str">
        <f t="shared" si="2"/>
        <v>D03</v>
      </c>
    </row>
    <row r="18" spans="7:17">
      <c r="G18" s="7" t="s">
        <v>78</v>
      </c>
      <c r="H18" s="7" t="s">
        <v>78</v>
      </c>
      <c r="I18" s="7" t="s">
        <v>44</v>
      </c>
      <c r="J18" t="str">
        <f t="shared" si="0"/>
        <v>	('D04', 'D04', '04'), </v>
      </c>
      <c r="O18" t="str">
        <f t="shared" si="1"/>
        <v>D</v>
      </c>
      <c r="P18" t="str">
        <f t="shared" si="3"/>
        <v>04</v>
      </c>
      <c r="Q18" t="str">
        <f t="shared" si="2"/>
        <v>D04</v>
      </c>
    </row>
    <row r="19" spans="7:17">
      <c r="G19" s="7" t="s">
        <v>83</v>
      </c>
      <c r="H19" s="7" t="s">
        <v>83</v>
      </c>
      <c r="I19" s="7" t="s">
        <v>47</v>
      </c>
      <c r="J19" t="str">
        <f t="shared" si="0"/>
        <v>	('E01', 'E01', '05'), </v>
      </c>
      <c r="O19" t="str">
        <f t="shared" si="1"/>
        <v>E</v>
      </c>
      <c r="P19" t="str">
        <f t="shared" si="3"/>
        <v>01</v>
      </c>
      <c r="Q19" t="str">
        <f t="shared" si="2"/>
        <v>E01</v>
      </c>
    </row>
    <row r="20" spans="7:17">
      <c r="G20" s="7" t="s">
        <v>84</v>
      </c>
      <c r="H20" s="7" t="s">
        <v>84</v>
      </c>
      <c r="I20" s="7" t="s">
        <v>47</v>
      </c>
      <c r="J20" t="str">
        <f t="shared" si="0"/>
        <v>	('E02', 'E02', '05'), </v>
      </c>
      <c r="O20" t="str">
        <f t="shared" si="1"/>
        <v>E</v>
      </c>
      <c r="P20" t="str">
        <f t="shared" si="3"/>
        <v>02</v>
      </c>
      <c r="Q20" t="str">
        <f t="shared" si="2"/>
        <v>E02</v>
      </c>
    </row>
    <row r="21" spans="7:17">
      <c r="G21" s="7" t="s">
        <v>86</v>
      </c>
      <c r="H21" s="7" t="s">
        <v>86</v>
      </c>
      <c r="I21" s="7" t="s">
        <v>47</v>
      </c>
      <c r="J21" t="str">
        <f t="shared" si="0"/>
        <v>	('E03', 'E03', '05'), </v>
      </c>
      <c r="O21" t="str">
        <f t="shared" si="1"/>
        <v>E</v>
      </c>
      <c r="P21" t="str">
        <f t="shared" si="3"/>
        <v>03</v>
      </c>
      <c r="Q21" t="str">
        <f t="shared" si="2"/>
        <v>E03</v>
      </c>
    </row>
    <row r="22" spans="7:17">
      <c r="G22" s="7" t="s">
        <v>88</v>
      </c>
      <c r="H22" s="7" t="s">
        <v>88</v>
      </c>
      <c r="I22" s="7" t="s">
        <v>47</v>
      </c>
      <c r="J22" t="str">
        <f t="shared" si="0"/>
        <v>	('E04', 'E04', '05'), </v>
      </c>
      <c r="O22" t="str">
        <f t="shared" si="1"/>
        <v>E</v>
      </c>
      <c r="P22" t="str">
        <f t="shared" si="3"/>
        <v>04</v>
      </c>
      <c r="Q22" t="str">
        <f t="shared" si="2"/>
        <v>E04</v>
      </c>
    </row>
    <row r="23" spans="7:17">
      <c r="G23" s="7" t="s">
        <v>93</v>
      </c>
      <c r="H23" s="7" t="s">
        <v>93</v>
      </c>
      <c r="I23" s="7" t="s">
        <v>50</v>
      </c>
      <c r="J23" t="str">
        <f t="shared" si="0"/>
        <v>	('F01', 'F01', '06'), </v>
      </c>
      <c r="O23" t="str">
        <f t="shared" si="1"/>
        <v>F</v>
      </c>
      <c r="P23" t="str">
        <f t="shared" si="3"/>
        <v>01</v>
      </c>
      <c r="Q23" t="str">
        <f t="shared" si="2"/>
        <v>F01</v>
      </c>
    </row>
    <row r="24" spans="7:17">
      <c r="G24" s="7" t="s">
        <v>94</v>
      </c>
      <c r="H24" s="7" t="s">
        <v>94</v>
      </c>
      <c r="I24" s="7" t="s">
        <v>50</v>
      </c>
      <c r="J24" t="str">
        <f t="shared" si="0"/>
        <v>	('F02', 'F02', '06'), </v>
      </c>
      <c r="O24" t="str">
        <f t="shared" si="1"/>
        <v>F</v>
      </c>
      <c r="P24" t="str">
        <f t="shared" si="3"/>
        <v>02</v>
      </c>
      <c r="Q24" t="str">
        <f t="shared" si="2"/>
        <v>F02</v>
      </c>
    </row>
    <row r="25" spans="7:17">
      <c r="G25" s="7" t="s">
        <v>96</v>
      </c>
      <c r="H25" s="7" t="s">
        <v>96</v>
      </c>
      <c r="I25" s="7" t="s">
        <v>50</v>
      </c>
      <c r="J25" t="str">
        <f t="shared" si="0"/>
        <v>	('F03', 'F03', '06'), </v>
      </c>
      <c r="O25" t="str">
        <f t="shared" si="1"/>
        <v>F</v>
      </c>
      <c r="P25" t="str">
        <f t="shared" si="3"/>
        <v>03</v>
      </c>
      <c r="Q25" t="str">
        <f t="shared" si="2"/>
        <v>F03</v>
      </c>
    </row>
    <row r="26" spans="7:17">
      <c r="G26" s="7" t="s">
        <v>98</v>
      </c>
      <c r="H26" s="7" t="s">
        <v>98</v>
      </c>
      <c r="I26" s="7" t="s">
        <v>50</v>
      </c>
      <c r="J26" t="str">
        <f t="shared" si="0"/>
        <v>	('F04', 'F04', '06'), </v>
      </c>
      <c r="O26" t="str">
        <f t="shared" si="1"/>
        <v>F</v>
      </c>
      <c r="P26" t="str">
        <f t="shared" si="3"/>
        <v>04</v>
      </c>
      <c r="Q26" t="str">
        <f t="shared" si="2"/>
        <v>F04</v>
      </c>
    </row>
    <row r="27" spans="7:17">
      <c r="G27" s="7" t="s">
        <v>103</v>
      </c>
      <c r="H27" s="7" t="s">
        <v>103</v>
      </c>
      <c r="I27" s="7" t="s">
        <v>52</v>
      </c>
      <c r="J27" t="str">
        <f t="shared" si="0"/>
        <v>	('G01', 'G01', '07'), </v>
      </c>
      <c r="O27" t="str">
        <f t="shared" si="1"/>
        <v>G</v>
      </c>
      <c r="P27" t="str">
        <f t="shared" si="3"/>
        <v>01</v>
      </c>
      <c r="Q27" t="str">
        <f t="shared" si="2"/>
        <v>G01</v>
      </c>
    </row>
    <row r="28" spans="7:17">
      <c r="G28" s="7" t="s">
        <v>104</v>
      </c>
      <c r="H28" s="7" t="s">
        <v>104</v>
      </c>
      <c r="I28" s="7" t="s">
        <v>52</v>
      </c>
      <c r="J28" t="str">
        <f t="shared" si="0"/>
        <v>	('G02', 'G02', '07'), </v>
      </c>
      <c r="O28" t="str">
        <f t="shared" si="1"/>
        <v>G</v>
      </c>
      <c r="P28" t="str">
        <f t="shared" si="3"/>
        <v>02</v>
      </c>
      <c r="Q28" t="str">
        <f t="shared" si="2"/>
        <v>G02</v>
      </c>
    </row>
    <row r="29" spans="7:17">
      <c r="G29" s="7" t="s">
        <v>106</v>
      </c>
      <c r="H29" s="7" t="s">
        <v>106</v>
      </c>
      <c r="I29" s="7" t="s">
        <v>52</v>
      </c>
      <c r="J29" t="str">
        <f t="shared" si="0"/>
        <v>	('G03', 'G03', '07'), </v>
      </c>
      <c r="O29" t="str">
        <f t="shared" si="1"/>
        <v>G</v>
      </c>
      <c r="P29" t="str">
        <f t="shared" si="3"/>
        <v>03</v>
      </c>
      <c r="Q29" t="str">
        <f t="shared" si="2"/>
        <v>G03</v>
      </c>
    </row>
    <row r="30" spans="7:17">
      <c r="G30" s="7" t="s">
        <v>108</v>
      </c>
      <c r="H30" s="7" t="s">
        <v>108</v>
      </c>
      <c r="I30" s="7" t="s">
        <v>52</v>
      </c>
      <c r="J30" t="str">
        <f t="shared" si="0"/>
        <v>	('G04', 'G04', '07'), </v>
      </c>
      <c r="O30" t="str">
        <f t="shared" si="1"/>
        <v>G</v>
      </c>
      <c r="P30" t="str">
        <f t="shared" si="3"/>
        <v>04</v>
      </c>
      <c r="Q30" t="str">
        <f t="shared" si="2"/>
        <v>G04</v>
      </c>
    </row>
    <row r="31" spans="7:17">
      <c r="G31" s="7" t="s">
        <v>113</v>
      </c>
      <c r="H31" s="7" t="s">
        <v>113</v>
      </c>
      <c r="I31" s="7" t="s">
        <v>54</v>
      </c>
      <c r="J31" t="str">
        <f t="shared" si="0"/>
        <v>	('H01', 'H01', '08'), </v>
      </c>
      <c r="O31" t="str">
        <f t="shared" si="1"/>
        <v>H</v>
      </c>
      <c r="P31" t="str">
        <f t="shared" si="3"/>
        <v>01</v>
      </c>
      <c r="Q31" t="str">
        <f t="shared" si="2"/>
        <v>H01</v>
      </c>
    </row>
    <row r="32" spans="7:17">
      <c r="G32" s="7" t="s">
        <v>114</v>
      </c>
      <c r="H32" s="7" t="s">
        <v>114</v>
      </c>
      <c r="I32" s="7" t="s">
        <v>54</v>
      </c>
      <c r="J32" t="str">
        <f t="shared" si="0"/>
        <v>	('H02', 'H02', '08'), </v>
      </c>
      <c r="O32" t="str">
        <f t="shared" si="1"/>
        <v>H</v>
      </c>
      <c r="P32" t="str">
        <f t="shared" si="3"/>
        <v>02</v>
      </c>
      <c r="Q32" t="str">
        <f t="shared" si="2"/>
        <v>H02</v>
      </c>
    </row>
    <row r="33" spans="7:17">
      <c r="G33" s="7" t="s">
        <v>116</v>
      </c>
      <c r="H33" s="7" t="s">
        <v>116</v>
      </c>
      <c r="I33" s="7" t="s">
        <v>54</v>
      </c>
      <c r="J33" t="str">
        <f t="shared" si="0"/>
        <v>	('H03', 'H03', '08'), </v>
      </c>
      <c r="O33" t="str">
        <f t="shared" si="1"/>
        <v>H</v>
      </c>
      <c r="P33" t="str">
        <f t="shared" si="3"/>
        <v>03</v>
      </c>
      <c r="Q33" t="str">
        <f t="shared" si="2"/>
        <v>H03</v>
      </c>
    </row>
    <row r="34" spans="7:17">
      <c r="G34" s="7" t="s">
        <v>118</v>
      </c>
      <c r="H34" s="7" t="s">
        <v>118</v>
      </c>
      <c r="I34" s="7" t="s">
        <v>54</v>
      </c>
      <c r="J34" t="str">
        <f t="shared" si="0"/>
        <v>	('H04', 'H04', '08'), </v>
      </c>
      <c r="O34" t="str">
        <f t="shared" si="1"/>
        <v>H</v>
      </c>
      <c r="P34" t="str">
        <f t="shared" si="3"/>
        <v>04</v>
      </c>
      <c r="Q34" t="str">
        <f t="shared" si="2"/>
        <v>H04</v>
      </c>
    </row>
    <row r="35" spans="7:17">
      <c r="G35" s="7" t="s">
        <v>123</v>
      </c>
      <c r="H35" s="7" t="s">
        <v>123</v>
      </c>
      <c r="I35" s="7" t="s">
        <v>56</v>
      </c>
      <c r="J35" t="str">
        <f t="shared" si="0"/>
        <v>	('I01', 'I01', '09'), </v>
      </c>
      <c r="O35" t="str">
        <f t="shared" si="1"/>
        <v>I</v>
      </c>
      <c r="P35" t="str">
        <f t="shared" si="3"/>
        <v>01</v>
      </c>
      <c r="Q35" t="str">
        <f t="shared" si="2"/>
        <v>I01</v>
      </c>
    </row>
    <row r="36" spans="7:17">
      <c r="G36" s="7" t="s">
        <v>124</v>
      </c>
      <c r="H36" s="7" t="s">
        <v>124</v>
      </c>
      <c r="I36" s="7" t="s">
        <v>56</v>
      </c>
      <c r="J36" t="str">
        <f t="shared" si="0"/>
        <v>	('I02', 'I02', '09'), </v>
      </c>
      <c r="O36" t="str">
        <f t="shared" si="1"/>
        <v>I</v>
      </c>
      <c r="P36" t="str">
        <f t="shared" si="3"/>
        <v>02</v>
      </c>
      <c r="Q36" t="str">
        <f t="shared" si="2"/>
        <v>I02</v>
      </c>
    </row>
    <row r="37" spans="7:17">
      <c r="G37" s="7" t="s">
        <v>126</v>
      </c>
      <c r="H37" s="7" t="s">
        <v>126</v>
      </c>
      <c r="I37" s="7" t="s">
        <v>56</v>
      </c>
      <c r="J37" t="str">
        <f t="shared" si="0"/>
        <v>	('I03', 'I03', '09'), </v>
      </c>
      <c r="O37" t="str">
        <f t="shared" si="1"/>
        <v>I</v>
      </c>
      <c r="P37" t="str">
        <f t="shared" si="3"/>
        <v>03</v>
      </c>
      <c r="Q37" t="str">
        <f t="shared" si="2"/>
        <v>I03</v>
      </c>
    </row>
    <row r="38" spans="7:17">
      <c r="G38" s="7" t="s">
        <v>128</v>
      </c>
      <c r="H38" s="7" t="s">
        <v>128</v>
      </c>
      <c r="I38" s="7" t="s">
        <v>56</v>
      </c>
      <c r="J38" t="str">
        <f t="shared" si="0"/>
        <v>	('I04', 'I04', '09'), </v>
      </c>
      <c r="O38" t="str">
        <f t="shared" si="1"/>
        <v>I</v>
      </c>
      <c r="P38" t="str">
        <f t="shared" si="3"/>
        <v>04</v>
      </c>
      <c r="Q38" t="str">
        <f t="shared" si="2"/>
        <v>I04</v>
      </c>
    </row>
    <row r="39" spans="7:17">
      <c r="G39" s="7" t="s">
        <v>133</v>
      </c>
      <c r="H39" s="7" t="s">
        <v>133</v>
      </c>
      <c r="I39" s="7" t="s">
        <v>57</v>
      </c>
      <c r="J39" t="str">
        <f t="shared" si="0"/>
        <v>	('J01', 'J01', '10'), </v>
      </c>
      <c r="O39" t="str">
        <f t="shared" si="1"/>
        <v>J</v>
      </c>
      <c r="P39" t="str">
        <f t="shared" si="3"/>
        <v>01</v>
      </c>
      <c r="Q39" t="str">
        <f t="shared" si="2"/>
        <v>J01</v>
      </c>
    </row>
    <row r="40" spans="7:17">
      <c r="G40" s="7" t="s">
        <v>134</v>
      </c>
      <c r="H40" s="7" t="s">
        <v>134</v>
      </c>
      <c r="I40" s="7" t="s">
        <v>57</v>
      </c>
      <c r="J40" t="str">
        <f t="shared" si="0"/>
        <v>	('J02', 'J02', '10'), </v>
      </c>
      <c r="O40" t="str">
        <f t="shared" si="1"/>
        <v>J</v>
      </c>
      <c r="P40" t="str">
        <f t="shared" si="3"/>
        <v>02</v>
      </c>
      <c r="Q40" t="str">
        <f t="shared" si="2"/>
        <v>J02</v>
      </c>
    </row>
    <row r="41" spans="7:17">
      <c r="G41" s="7" t="s">
        <v>136</v>
      </c>
      <c r="H41" s="7" t="s">
        <v>136</v>
      </c>
      <c r="I41" s="7" t="s">
        <v>57</v>
      </c>
      <c r="J41" t="str">
        <f t="shared" si="0"/>
        <v>	('J03', 'J03', '10'), </v>
      </c>
      <c r="O41" t="str">
        <f t="shared" si="1"/>
        <v>J</v>
      </c>
      <c r="P41" t="str">
        <f t="shared" si="3"/>
        <v>03</v>
      </c>
      <c r="Q41" t="str">
        <f t="shared" si="2"/>
        <v>J03</v>
      </c>
    </row>
    <row r="42" spans="7:17">
      <c r="G42" s="7" t="s">
        <v>138</v>
      </c>
      <c r="H42" s="7" t="s">
        <v>138</v>
      </c>
      <c r="I42" s="7" t="s">
        <v>57</v>
      </c>
      <c r="J42" t="str">
        <f t="shared" si="0"/>
        <v>	('J04', 'J04', '10'), </v>
      </c>
      <c r="O42" t="str">
        <f t="shared" si="1"/>
        <v>J</v>
      </c>
      <c r="P42" t="str">
        <f t="shared" si="3"/>
        <v>04</v>
      </c>
      <c r="Q42" t="str">
        <f t="shared" si="2"/>
        <v>J04</v>
      </c>
    </row>
    <row r="43" spans="7:17">
      <c r="G43" s="7" t="s">
        <v>143</v>
      </c>
      <c r="H43" s="7" t="s">
        <v>143</v>
      </c>
      <c r="I43" s="7" t="s">
        <v>59</v>
      </c>
      <c r="J43" t="str">
        <f t="shared" si="0"/>
        <v>	('K01', 'K01', '11'), </v>
      </c>
      <c r="O43" t="str">
        <f t="shared" si="1"/>
        <v>K</v>
      </c>
      <c r="P43" t="str">
        <f t="shared" si="3"/>
        <v>01</v>
      </c>
      <c r="Q43" t="str">
        <f t="shared" si="2"/>
        <v>K01</v>
      </c>
    </row>
    <row r="44" spans="7:17">
      <c r="G44" s="7" t="s">
        <v>144</v>
      </c>
      <c r="H44" s="7" t="s">
        <v>144</v>
      </c>
      <c r="I44" s="7" t="s">
        <v>59</v>
      </c>
      <c r="J44" t="str">
        <f t="shared" si="0"/>
        <v>	('K02', 'K02', '11'), </v>
      </c>
      <c r="O44" t="str">
        <f t="shared" si="1"/>
        <v>K</v>
      </c>
      <c r="P44" t="str">
        <f t="shared" si="3"/>
        <v>02</v>
      </c>
      <c r="Q44" t="str">
        <f t="shared" si="2"/>
        <v>K02</v>
      </c>
    </row>
    <row r="45" spans="7:17">
      <c r="G45" s="7" t="s">
        <v>146</v>
      </c>
      <c r="H45" s="7" t="s">
        <v>146</v>
      </c>
      <c r="I45" s="7" t="s">
        <v>59</v>
      </c>
      <c r="J45" t="str">
        <f t="shared" si="0"/>
        <v>	('K03', 'K03', '11'), </v>
      </c>
      <c r="O45" t="str">
        <f t="shared" si="1"/>
        <v>K</v>
      </c>
      <c r="P45" t="str">
        <f t="shared" si="3"/>
        <v>03</v>
      </c>
      <c r="Q45" t="str">
        <f t="shared" si="2"/>
        <v>K03</v>
      </c>
    </row>
    <row r="46" spans="7:17">
      <c r="G46" s="7" t="s">
        <v>148</v>
      </c>
      <c r="H46" s="7" t="s">
        <v>148</v>
      </c>
      <c r="I46" s="7" t="s">
        <v>59</v>
      </c>
      <c r="J46" t="str">
        <f t="shared" si="0"/>
        <v>	('K04', 'K04', '11'), </v>
      </c>
      <c r="O46" t="str">
        <f t="shared" si="1"/>
        <v>K</v>
      </c>
      <c r="P46" t="str">
        <f t="shared" si="3"/>
        <v>04</v>
      </c>
      <c r="Q46" t="str">
        <f t="shared" si="2"/>
        <v>K04</v>
      </c>
    </row>
    <row r="47" spans="7:17">
      <c r="G47" s="7" t="s">
        <v>153</v>
      </c>
      <c r="H47" s="7" t="s">
        <v>153</v>
      </c>
      <c r="I47" s="7" t="s">
        <v>60</v>
      </c>
      <c r="J47" t="str">
        <f t="shared" si="0"/>
        <v>	('L01', 'L01', '12'), </v>
      </c>
      <c r="O47" t="str">
        <f t="shared" si="1"/>
        <v>L</v>
      </c>
      <c r="P47" t="str">
        <f t="shared" si="3"/>
        <v>01</v>
      </c>
      <c r="Q47" t="str">
        <f t="shared" si="2"/>
        <v>L01</v>
      </c>
    </row>
    <row r="48" spans="7:17">
      <c r="G48" s="7" t="s">
        <v>154</v>
      </c>
      <c r="H48" s="7" t="s">
        <v>154</v>
      </c>
      <c r="I48" s="7" t="s">
        <v>60</v>
      </c>
      <c r="J48" t="str">
        <f t="shared" si="0"/>
        <v>	('L02', 'L02', '12'), </v>
      </c>
      <c r="O48" t="str">
        <f t="shared" si="1"/>
        <v>L</v>
      </c>
      <c r="P48" t="str">
        <f t="shared" si="3"/>
        <v>02</v>
      </c>
      <c r="Q48" t="str">
        <f t="shared" si="2"/>
        <v>L02</v>
      </c>
    </row>
    <row r="49" spans="7:17">
      <c r="G49" s="7" t="s">
        <v>156</v>
      </c>
      <c r="H49" s="7" t="s">
        <v>156</v>
      </c>
      <c r="I49" s="7" t="s">
        <v>60</v>
      </c>
      <c r="J49" t="str">
        <f t="shared" si="0"/>
        <v>	('L03', 'L03', '12'), </v>
      </c>
      <c r="O49" t="str">
        <f t="shared" si="1"/>
        <v>L</v>
      </c>
      <c r="P49" t="str">
        <f t="shared" si="3"/>
        <v>03</v>
      </c>
      <c r="Q49" t="str">
        <f t="shared" si="2"/>
        <v>L03</v>
      </c>
    </row>
    <row r="50" spans="7:17">
      <c r="G50" s="7" t="s">
        <v>158</v>
      </c>
      <c r="H50" s="7" t="s">
        <v>158</v>
      </c>
      <c r="I50" s="7" t="s">
        <v>60</v>
      </c>
      <c r="J50" t="str">
        <f>CHAR(9)&amp;"('"&amp;G50&amp;"', '"&amp;H50&amp;"', '"&amp;I50&amp;"')"</f>
        <v>	('L04', 'L04', '12')</v>
      </c>
      <c r="O50" t="str">
        <f t="shared" si="1"/>
        <v>L</v>
      </c>
      <c r="P50" t="str">
        <f t="shared" si="3"/>
        <v>04</v>
      </c>
      <c r="Q50" t="str">
        <f t="shared" si="2"/>
        <v>L04</v>
      </c>
    </row>
    <row r="51" spans="10:10">
      <c r="J51" t="s">
        <v>162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1"/>
  <sheetViews>
    <sheetView workbookViewId="0">
      <selection activeCell="A1" sqref="A1"/>
    </sheetView>
  </sheetViews>
  <sheetFormatPr defaultColWidth="3.77777777777778" defaultRowHeight="18.75"/>
  <cols>
    <col min="1" max="1" width="3.77777777777778" customWidth="1"/>
    <col min="2" max="2" width="30.7777777777778" customWidth="1"/>
    <col min="3" max="4" width="5.77777777777778" customWidth="1"/>
    <col min="5" max="5" width="40.7777777777778" customWidth="1"/>
    <col min="6" max="6" width="3.77777777777778" customWidth="1"/>
    <col min="7" max="7" width="7.33333333333333" customWidth="1"/>
    <col min="8" max="8" width="7.88888888888889" customWidth="1"/>
    <col min="9" max="9" width="3.77777777777778" customWidth="1"/>
  </cols>
  <sheetData>
    <row r="2" spans="2:9">
      <c r="B2" s="1" t="s">
        <v>0</v>
      </c>
      <c r="C2" s="1"/>
      <c r="D2" s="1"/>
      <c r="E2" s="2" t="s">
        <v>1</v>
      </c>
      <c r="G2" s="3" t="s">
        <v>173</v>
      </c>
      <c r="H2" s="3" t="s">
        <v>3</v>
      </c>
      <c r="I2" t="s">
        <v>181</v>
      </c>
    </row>
    <row r="3" spans="2:9">
      <c r="B3" s="4" t="s">
        <v>182</v>
      </c>
      <c r="C3" s="4"/>
      <c r="D3" s="4"/>
      <c r="E3" s="5" t="s">
        <v>177</v>
      </c>
      <c r="G3" s="6">
        <v>1</v>
      </c>
      <c r="H3" s="7" t="s">
        <v>12</v>
      </c>
      <c r="I3" t="str">
        <f t="shared" ref="I3:I49" si="0">CHAR(9)&amp;"("&amp;G3&amp;", '"&amp;H3&amp;"'),"</f>
        <v>	(1, 'A01'),</v>
      </c>
    </row>
    <row r="4" spans="2:9">
      <c r="B4" s="1" t="s">
        <v>14</v>
      </c>
      <c r="C4" s="1"/>
      <c r="D4" s="1"/>
      <c r="E4" s="1"/>
      <c r="G4" s="6">
        <v>2</v>
      </c>
      <c r="H4" s="7" t="s">
        <v>15</v>
      </c>
      <c r="I4" t="str">
        <f t="shared" si="0"/>
        <v>	(2, 'A02'),</v>
      </c>
    </row>
    <row r="5" spans="2:9">
      <c r="B5" s="4" t="s">
        <v>183</v>
      </c>
      <c r="C5" s="4"/>
      <c r="D5" s="4"/>
      <c r="E5" s="4"/>
      <c r="G5" s="6">
        <v>3</v>
      </c>
      <c r="H5" s="7" t="s">
        <v>18</v>
      </c>
      <c r="I5" t="str">
        <f t="shared" si="0"/>
        <v>	(3, 'A03'),</v>
      </c>
    </row>
    <row r="6" spans="7:9">
      <c r="G6" s="6">
        <v>4</v>
      </c>
      <c r="H6" s="7" t="s">
        <v>26</v>
      </c>
      <c r="I6" t="str">
        <f t="shared" si="0"/>
        <v>	(4, 'A04'),</v>
      </c>
    </row>
    <row r="7" spans="2:9">
      <c r="B7" s="8" t="s">
        <v>19</v>
      </c>
      <c r="C7" s="8" t="s">
        <v>20</v>
      </c>
      <c r="D7" s="8" t="s">
        <v>21</v>
      </c>
      <c r="E7" s="8" t="s">
        <v>14</v>
      </c>
      <c r="G7" s="6">
        <v>5</v>
      </c>
      <c r="H7" s="7" t="s">
        <v>40</v>
      </c>
      <c r="I7" t="str">
        <f t="shared" si="0"/>
        <v>	(5, 'B01'),</v>
      </c>
    </row>
    <row r="8" spans="2:9">
      <c r="B8" s="9" t="s">
        <v>173</v>
      </c>
      <c r="C8" s="5" t="s">
        <v>23</v>
      </c>
      <c r="D8" s="5" t="s">
        <v>29</v>
      </c>
      <c r="E8" s="9" t="s">
        <v>183</v>
      </c>
      <c r="G8" s="6">
        <v>6</v>
      </c>
      <c r="H8" s="7" t="s">
        <v>43</v>
      </c>
      <c r="I8" t="str">
        <f t="shared" si="0"/>
        <v>	(6, 'B02'),</v>
      </c>
    </row>
    <row r="9" spans="2:9">
      <c r="B9" s="9" t="s">
        <v>3</v>
      </c>
      <c r="C9" s="5" t="s">
        <v>23</v>
      </c>
      <c r="D9" s="5" t="s">
        <v>24</v>
      </c>
      <c r="E9" s="9" t="s">
        <v>27</v>
      </c>
      <c r="G9" s="6">
        <v>7</v>
      </c>
      <c r="H9" s="7" t="s">
        <v>49</v>
      </c>
      <c r="I9" t="str">
        <f t="shared" si="0"/>
        <v>	(7, 'B03'),</v>
      </c>
    </row>
    <row r="10" spans="2:9">
      <c r="B10" s="9"/>
      <c r="C10" s="5"/>
      <c r="D10" s="5"/>
      <c r="E10" s="9"/>
      <c r="G10" s="6">
        <v>8</v>
      </c>
      <c r="H10" s="7" t="s">
        <v>53</v>
      </c>
      <c r="I10" t="str">
        <f t="shared" si="0"/>
        <v>	(8, 'B04'),</v>
      </c>
    </row>
    <row r="11" spans="2:9">
      <c r="B11" s="9"/>
      <c r="C11" s="5"/>
      <c r="D11" s="5"/>
      <c r="E11" s="9"/>
      <c r="G11" s="6">
        <v>9</v>
      </c>
      <c r="H11" s="7" t="s">
        <v>63</v>
      </c>
      <c r="I11" t="str">
        <f t="shared" si="0"/>
        <v>	(9, 'C01'),</v>
      </c>
    </row>
    <row r="12" spans="2:9">
      <c r="B12" s="9"/>
      <c r="C12" s="5"/>
      <c r="D12" s="5"/>
      <c r="E12" s="9"/>
      <c r="G12" s="6">
        <v>10</v>
      </c>
      <c r="H12" s="7" t="s">
        <v>64</v>
      </c>
      <c r="I12" t="str">
        <f t="shared" si="0"/>
        <v>	(10, 'C02'),</v>
      </c>
    </row>
    <row r="13" spans="7:9">
      <c r="G13" s="6">
        <v>11</v>
      </c>
      <c r="H13" s="7" t="s">
        <v>66</v>
      </c>
      <c r="I13" t="str">
        <f t="shared" si="0"/>
        <v>	(11, 'C03'),</v>
      </c>
    </row>
    <row r="14" spans="7:9">
      <c r="G14" s="6">
        <v>12</v>
      </c>
      <c r="H14" s="7" t="s">
        <v>68</v>
      </c>
      <c r="I14" t="str">
        <f t="shared" si="0"/>
        <v>	(12, 'C04'),</v>
      </c>
    </row>
    <row r="15" spans="7:9">
      <c r="G15" s="6">
        <v>13</v>
      </c>
      <c r="H15" s="7" t="s">
        <v>73</v>
      </c>
      <c r="I15" t="str">
        <f t="shared" si="0"/>
        <v>	(13, 'D01'),</v>
      </c>
    </row>
    <row r="16" spans="7:9">
      <c r="G16" s="6">
        <v>14</v>
      </c>
      <c r="H16" s="7" t="s">
        <v>74</v>
      </c>
      <c r="I16" t="str">
        <f t="shared" si="0"/>
        <v>	(14, 'D02'),</v>
      </c>
    </row>
    <row r="17" spans="7:9">
      <c r="G17" s="6">
        <v>15</v>
      </c>
      <c r="H17" s="7" t="s">
        <v>76</v>
      </c>
      <c r="I17" t="str">
        <f t="shared" si="0"/>
        <v>	(15, 'D03'),</v>
      </c>
    </row>
    <row r="18" spans="7:9">
      <c r="G18" s="6">
        <v>16</v>
      </c>
      <c r="H18" s="7" t="s">
        <v>78</v>
      </c>
      <c r="I18" t="str">
        <f t="shared" si="0"/>
        <v>	(16, 'D04'),</v>
      </c>
    </row>
    <row r="19" spans="7:9">
      <c r="G19" s="6">
        <v>17</v>
      </c>
      <c r="H19" s="7" t="s">
        <v>83</v>
      </c>
      <c r="I19" t="str">
        <f t="shared" si="0"/>
        <v>	(17, 'E01'),</v>
      </c>
    </row>
    <row r="20" spans="7:9">
      <c r="G20" s="6">
        <v>18</v>
      </c>
      <c r="H20" s="7" t="s">
        <v>84</v>
      </c>
      <c r="I20" t="str">
        <f t="shared" si="0"/>
        <v>	(18, 'E02'),</v>
      </c>
    </row>
    <row r="21" spans="7:9">
      <c r="G21" s="6">
        <v>19</v>
      </c>
      <c r="H21" s="7" t="s">
        <v>86</v>
      </c>
      <c r="I21" t="str">
        <f t="shared" si="0"/>
        <v>	(19, 'E03'),</v>
      </c>
    </row>
    <row r="22" spans="7:9">
      <c r="G22" s="6">
        <v>20</v>
      </c>
      <c r="H22" s="7" t="s">
        <v>88</v>
      </c>
      <c r="I22" t="str">
        <f t="shared" si="0"/>
        <v>	(20, 'E04'),</v>
      </c>
    </row>
    <row r="23" spans="7:9">
      <c r="G23" s="6">
        <v>21</v>
      </c>
      <c r="H23" s="7" t="s">
        <v>93</v>
      </c>
      <c r="I23" t="str">
        <f t="shared" si="0"/>
        <v>	(21, 'F01'),</v>
      </c>
    </row>
    <row r="24" spans="7:9">
      <c r="G24" s="6">
        <v>22</v>
      </c>
      <c r="H24" s="7" t="s">
        <v>94</v>
      </c>
      <c r="I24" t="str">
        <f t="shared" si="0"/>
        <v>	(22, 'F02'),</v>
      </c>
    </row>
    <row r="25" spans="7:9">
      <c r="G25" s="6">
        <v>23</v>
      </c>
      <c r="H25" s="7" t="s">
        <v>96</v>
      </c>
      <c r="I25" t="str">
        <f t="shared" si="0"/>
        <v>	(23, 'F03'),</v>
      </c>
    </row>
    <row r="26" spans="7:9">
      <c r="G26" s="6">
        <v>24</v>
      </c>
      <c r="H26" s="7" t="s">
        <v>98</v>
      </c>
      <c r="I26" t="str">
        <f t="shared" si="0"/>
        <v>	(24, 'F04'),</v>
      </c>
    </row>
    <row r="27" spans="7:9">
      <c r="G27" s="6">
        <v>25</v>
      </c>
      <c r="H27" s="7" t="s">
        <v>103</v>
      </c>
      <c r="I27" t="str">
        <f t="shared" si="0"/>
        <v>	(25, 'G01'),</v>
      </c>
    </row>
    <row r="28" spans="7:9">
      <c r="G28" s="6">
        <v>26</v>
      </c>
      <c r="H28" s="7" t="s">
        <v>104</v>
      </c>
      <c r="I28" t="str">
        <f t="shared" si="0"/>
        <v>	(26, 'G02'),</v>
      </c>
    </row>
    <row r="29" spans="7:9">
      <c r="G29" s="6">
        <v>27</v>
      </c>
      <c r="H29" s="7" t="s">
        <v>106</v>
      </c>
      <c r="I29" t="str">
        <f t="shared" si="0"/>
        <v>	(27, 'G03'),</v>
      </c>
    </row>
    <row r="30" spans="7:9">
      <c r="G30" s="6">
        <v>28</v>
      </c>
      <c r="H30" s="7" t="s">
        <v>108</v>
      </c>
      <c r="I30" t="str">
        <f t="shared" si="0"/>
        <v>	(28, 'G04'),</v>
      </c>
    </row>
    <row r="31" spans="7:9">
      <c r="G31" s="6">
        <v>29</v>
      </c>
      <c r="H31" s="7" t="s">
        <v>113</v>
      </c>
      <c r="I31" t="str">
        <f t="shared" si="0"/>
        <v>	(29, 'H01'),</v>
      </c>
    </row>
    <row r="32" spans="7:9">
      <c r="G32" s="6">
        <v>30</v>
      </c>
      <c r="H32" s="7" t="s">
        <v>114</v>
      </c>
      <c r="I32" t="str">
        <f t="shared" si="0"/>
        <v>	(30, 'H02'),</v>
      </c>
    </row>
    <row r="33" spans="7:9">
      <c r="G33" s="6">
        <v>31</v>
      </c>
      <c r="H33" s="7" t="s">
        <v>116</v>
      </c>
      <c r="I33" t="str">
        <f t="shared" si="0"/>
        <v>	(31, 'H03'),</v>
      </c>
    </row>
    <row r="34" spans="7:9">
      <c r="G34" s="6">
        <v>32</v>
      </c>
      <c r="H34" s="7" t="s">
        <v>118</v>
      </c>
      <c r="I34" t="str">
        <f t="shared" si="0"/>
        <v>	(32, 'H04'),</v>
      </c>
    </row>
    <row r="35" spans="7:9">
      <c r="G35" s="6">
        <v>33</v>
      </c>
      <c r="H35" s="7" t="s">
        <v>123</v>
      </c>
      <c r="I35" t="str">
        <f t="shared" si="0"/>
        <v>	(33, 'I01'),</v>
      </c>
    </row>
    <row r="36" spans="7:9">
      <c r="G36" s="6">
        <v>34</v>
      </c>
      <c r="H36" s="7" t="s">
        <v>124</v>
      </c>
      <c r="I36" t="str">
        <f t="shared" si="0"/>
        <v>	(34, 'I02'),</v>
      </c>
    </row>
    <row r="37" spans="7:9">
      <c r="G37" s="6">
        <v>35</v>
      </c>
      <c r="H37" s="7" t="s">
        <v>126</v>
      </c>
      <c r="I37" t="str">
        <f t="shared" si="0"/>
        <v>	(35, 'I03'),</v>
      </c>
    </row>
    <row r="38" spans="7:9">
      <c r="G38" s="6">
        <v>36</v>
      </c>
      <c r="H38" s="7" t="s">
        <v>128</v>
      </c>
      <c r="I38" t="str">
        <f t="shared" si="0"/>
        <v>	(36, 'I04'),</v>
      </c>
    </row>
    <row r="39" spans="7:9">
      <c r="G39" s="6">
        <v>37</v>
      </c>
      <c r="H39" s="7" t="s">
        <v>133</v>
      </c>
      <c r="I39" t="str">
        <f t="shared" si="0"/>
        <v>	(37, 'J01'),</v>
      </c>
    </row>
    <row r="40" spans="7:9">
      <c r="G40" s="6">
        <v>38</v>
      </c>
      <c r="H40" s="7" t="s">
        <v>134</v>
      </c>
      <c r="I40" t="str">
        <f t="shared" si="0"/>
        <v>	(38, 'J02'),</v>
      </c>
    </row>
    <row r="41" spans="7:9">
      <c r="G41" s="6">
        <v>39</v>
      </c>
      <c r="H41" s="7" t="s">
        <v>136</v>
      </c>
      <c r="I41" t="str">
        <f t="shared" si="0"/>
        <v>	(39, 'J03'),</v>
      </c>
    </row>
    <row r="42" spans="7:9">
      <c r="G42" s="6">
        <v>40</v>
      </c>
      <c r="H42" s="7" t="s">
        <v>138</v>
      </c>
      <c r="I42" t="str">
        <f t="shared" si="0"/>
        <v>	(40, 'J04'),</v>
      </c>
    </row>
    <row r="43" spans="7:9">
      <c r="G43" s="6">
        <v>41</v>
      </c>
      <c r="H43" s="7" t="s">
        <v>143</v>
      </c>
      <c r="I43" t="str">
        <f t="shared" si="0"/>
        <v>	(41, 'K01'),</v>
      </c>
    </row>
    <row r="44" spans="7:9">
      <c r="G44" s="6">
        <v>42</v>
      </c>
      <c r="H44" s="7" t="s">
        <v>144</v>
      </c>
      <c r="I44" t="str">
        <f t="shared" si="0"/>
        <v>	(42, 'K02'),</v>
      </c>
    </row>
    <row r="45" spans="7:9">
      <c r="G45" s="6">
        <v>43</v>
      </c>
      <c r="H45" s="7" t="s">
        <v>146</v>
      </c>
      <c r="I45" t="str">
        <f t="shared" si="0"/>
        <v>	(43, 'K03'),</v>
      </c>
    </row>
    <row r="46" spans="7:9">
      <c r="G46" s="6">
        <v>44</v>
      </c>
      <c r="H46" s="7" t="s">
        <v>148</v>
      </c>
      <c r="I46" t="str">
        <f t="shared" si="0"/>
        <v>	(44, 'K04'),</v>
      </c>
    </row>
    <row r="47" spans="7:9">
      <c r="G47" s="6">
        <v>45</v>
      </c>
      <c r="H47" s="7" t="s">
        <v>153</v>
      </c>
      <c r="I47" t="str">
        <f t="shared" si="0"/>
        <v>	(45, 'L01'),</v>
      </c>
    </row>
    <row r="48" spans="7:9">
      <c r="G48" s="6">
        <v>46</v>
      </c>
      <c r="H48" s="7" t="s">
        <v>154</v>
      </c>
      <c r="I48" t="str">
        <f t="shared" si="0"/>
        <v>	(46, 'L02'),</v>
      </c>
    </row>
    <row r="49" spans="7:9">
      <c r="G49" s="6">
        <v>47</v>
      </c>
      <c r="H49" s="7" t="s">
        <v>156</v>
      </c>
      <c r="I49" t="str">
        <f t="shared" si="0"/>
        <v>	(47, 'L03'),</v>
      </c>
    </row>
    <row r="50" spans="7:9">
      <c r="G50" s="6">
        <v>48</v>
      </c>
      <c r="H50" s="7" t="s">
        <v>158</v>
      </c>
      <c r="I50" t="str">
        <f>CHAR(9)&amp;"("&amp;G50&amp;", '"&amp;H50&amp;"')"</f>
        <v>	(48, 'L04')</v>
      </c>
    </row>
    <row r="51" spans="9:9">
      <c r="I51" t="s">
        <v>162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MATCH_TEAM</vt:lpstr>
      <vt:lpstr>Sheet3</vt:lpstr>
      <vt:lpstr>Sheet2</vt:lpstr>
      <vt:lpstr>TEAM</vt:lpstr>
      <vt:lpstr>FIFARANK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みずき</dc:creator>
  <cp:lastModifiedBy>みずき</cp:lastModifiedBy>
  <dcterms:created xsi:type="dcterms:W3CDTF">2026-06-19T07:26:00Z</dcterms:created>
  <dcterms:modified xsi:type="dcterms:W3CDTF">2026-07-16T07:23:05Z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EEBC944A979041AB8D494D908BC67D89_11</vt:lpwstr>
  </property>
  <property fmtid="{D5CDD505-2E9C-101B-9397-08002B2CF9AE}" pid="3" name="KSOProductBuildVer">
    <vt:lpwstr>1041-12.2.0.21931</vt:lpwstr>
  </property>
</Properties>
</file>