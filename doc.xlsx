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4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GROUPSTAGE" sheetId="7" r:id="rId6"/>
    <sheet name="TEAM" sheetId="8" r:id="rId7"/>
    <sheet name="FIFARANK" sheetId="11" r:id="rId8"/>
    <sheet name="GROUP_RANK" sheetId="13" r:id="rId9"/>
    <sheet name="GROUP_RANK_抽出" sheetId="20" r:id="rId10"/>
    <sheet name="GROUP_RANK0" sheetId="14" r:id="rId11"/>
    <sheet name="GROUP_RANK1" sheetId="15" r:id="rId12"/>
    <sheet name="GROUP_RANK2" sheetId="16" r:id="rId13"/>
    <sheet name="GROUP_RANK3" sheetId="17" r:id="rId14"/>
    <sheet name="EIGHT_OF_THIRD" sheetId="12" r:id="rId15"/>
    <sheet name="SCORE_SHEET" sheetId="9" r:id="rId16"/>
    <sheet name="SCORE_SHEET_処理イメージ" sheetId="19" r:id="rId17"/>
    <sheet name="RESULTS_STATS" sheetId="10" r:id="rId18"/>
    <sheet name="RESULTS_STATS_抽出" sheetId="21" r:id="rId19"/>
  </sheets>
  <definedNames>
    <definedName name="_xlnm._FilterDatabase" localSheetId="3" hidden="1">MATCHES!$A$107:$K$107</definedName>
    <definedName name="_xlnm._FilterDatabase" localSheetId="9" hidden="1">GROUP_RANK_抽出!$B$2:$T$44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<sst xmlns="http://schemas.openxmlformats.org/spreadsheetml/2006/main" count="3937" uniqueCount="945">
  <si>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</si>
  <si>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</si>
  <si>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</si>
  <si>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</si>
  <si>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</si>
  <si>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</si>
  <si>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</si>
  <si>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</si>
  <si>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</si>
  <si>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</si>
  <si>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</si>
  <si>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</si>
  <si>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</si>
  <si>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</si>
  <si>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</si>
  <si>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</si>
  <si>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</si>
  <si>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</si>
  <si>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</si>
  <si>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</si>
  <si>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</si>
  <si>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</si>
  <si>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</si>
  <si>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</si>
  <si>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環境構築</t>
  </si>
  <si>
    <t>「worldcup」フォルダのパス</t>
  </si>
  <si>
    <t>C:\Users\naked\Documents\github\worldcup</t>
  </si>
  <si>
    <t>MATCHES</t>
  </si>
  <si>
    <t>\table\</t>
  </si>
  <si>
    <t>MATCH_TEAM</t>
  </si>
  <si>
    <t>GROUPSTAGE</t>
  </si>
  <si>
    <t>TEAM</t>
  </si>
  <si>
    <t>FIFARANK</t>
  </si>
  <si>
    <t>GROUP_RANK</t>
  </si>
  <si>
    <t>\view\</t>
  </si>
  <si>
    <t>GROUP_RANK0</t>
  </si>
  <si>
    <t>GROUP_RANK1</t>
  </si>
  <si>
    <t>GROUP_RANK2</t>
  </si>
  <si>
    <t>GROUP_RANK3</t>
  </si>
  <si>
    <t>EIGHT_OF_THIRD</t>
  </si>
  <si>
    <t>RESULTS_STATS</t>
  </si>
  <si>
    <t>SCORE_SHEET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</si>
  <si>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</si>
  <si>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</si>
  <si>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</si>
  <si>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</si>
  <si>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</si>
  <si>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</si>
  <si>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</si>
  <si>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トラン</t>
  </si>
  <si>
    <t>試合</t>
  </si>
  <si>
    <t>試合に参加したチーム</t>
  </si>
  <si>
    <t>マスタ</t>
  </si>
  <si>
    <t>グループのマスタ</t>
  </si>
  <si>
    <t>チームのマスタ</t>
  </si>
  <si>
    <t>FIFAランク</t>
  </si>
  <si>
    <t>ビュー</t>
  </si>
  <si>
    <t>星取表</t>
  </si>
  <si>
    <t>TMP</t>
  </si>
  <si>
    <t>3位チームの上位8チーム</t>
  </si>
  <si>
    <t>点差ごとの試合結果の統計</t>
  </si>
  <si>
    <t>match_id</t>
  </si>
  <si>
    <t>match_kbn</t>
  </si>
  <si>
    <t>match_date</t>
  </si>
  <si>
    <t>venue</t>
  </si>
  <si>
    <t>INSERT INTO MATCHES (match_id, match_kbn, match_date, venue) VALUES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</si>
  <si>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</si>
  <si>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</si>
  <si>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</si>
  <si>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</si>
  <si>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</si>
  <si>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</si>
  <si>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</si>
  <si>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</si>
  <si>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</si>
  <si>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</si>
  <si>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</si>
  <si>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</si>
  <si>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</si>
  <si>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</si>
  <si>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</si>
  <si>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</si>
  <si>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</si>
  <si>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</si>
  <si>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</si>
  <si>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</si>
  <si>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</si>
  <si>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</si>
  <si>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</si>
  <si>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</si>
  <si>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</si>
  <si>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</si>
  <si>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</si>
  <si>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</si>
  <si>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</si>
  <si>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</si>
  <si>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</si>
  <si>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</si>
  <si>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</si>
  <si>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</si>
  <si>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</si>
  <si>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</si>
  <si>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</si>
  <si>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</si>
  <si>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</si>
  <si>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</si>
  <si>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</si>
  <si>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</si>
  <si>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</si>
  <si>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</si>
  <si>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</si>
  <si>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</si>
  <si>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</si>
  <si>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</si>
  <si>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</si>
  <si>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</si>
  <si>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</si>
  <si>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</si>
  <si>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</si>
  <si>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</si>
  <si>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</si>
  <si>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</si>
  <si>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</si>
  <si>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</si>
  <si>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</si>
  <si>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</si>
  <si>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</si>
  <si>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</si>
  <si>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</si>
  <si>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</si>
  <si>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</si>
  <si>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</si>
  <si>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</si>
  <si>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</si>
  <si>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</si>
  <si>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</si>
  <si>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</si>
  <si>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</si>
  <si>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</si>
  <si>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</si>
  <si>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</si>
  <si>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</si>
  <si>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</si>
  <si>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</si>
  <si>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</si>
  <si>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</si>
  <si>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</si>
  <si>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</si>
  <si>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</si>
  <si>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</si>
  <si>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</si>
  <si>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</si>
  <si>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</si>
  <si>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</si>
  <si>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</si>
  <si>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</si>
  <si>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</si>
  <si>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</si>
  <si>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</si>
  <si>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</si>
  <si>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</si>
  <si>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</si>
  <si>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</si>
  <si>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</si>
  <si>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</si>
  <si>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</si>
  <si>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</si>
  <si>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</si>
  <si>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</si>
  <si>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</si>
  <si>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</si>
  <si>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</si>
  <si>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</si>
  <si>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</si>
  <si>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</si>
  <si>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</si>
  <si>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</si>
  <si>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</si>
  <si>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</si>
  <si>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</si>
  <si>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</si>
  <si>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</si>
  <si>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</si>
  <si>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</si>
  <si>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</si>
  <si>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</si>
  <si>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</si>
  <si>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</si>
  <si>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</si>
  <si>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</si>
  <si>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</si>
  <si>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</si>
  <si>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</si>
  <si>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</si>
  <si>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</si>
  <si>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</si>
  <si>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</si>
  <si>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</si>
  <si>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</si>
  <si>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</si>
  <si>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</si>
  <si>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</si>
  <si>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</si>
  <si>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</si>
  <si>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</si>
  <si>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</si>
  <si>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</si>
  <si>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</si>
  <si>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</si>
  <si>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</si>
  <si>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</si>
  <si>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</si>
  <si>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</si>
  <si>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</si>
  <si>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</si>
  <si>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</si>
  <si>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</si>
  <si>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</si>
  <si>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</si>
  <si>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</si>
  <si>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</si>
  <si>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</si>
  <si>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</si>
  <si>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</si>
  <si>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</si>
  <si>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</si>
  <si>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</si>
  <si>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</si>
  <si>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</si>
  <si>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</si>
  <si>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</si>
  <si>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</si>
  <si>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</si>
  <si>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</si>
  <si>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</si>
  <si>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</si>
  <si>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</si>
  <si>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</si>
  <si>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</si>
  <si>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</si>
  <si>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</si>
  <si>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</si>
  <si>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</si>
  <si>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</si>
  <si>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</si>
  <si>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</si>
  <si>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</si>
  <si>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</si>
  <si>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</si>
  <si>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</si>
  <si>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</si>
  <si>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</si>
  <si>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</si>
  <si>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</si>
  <si>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</si>
  <si>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</si>
  <si>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</si>
  <si>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</si>
  <si>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</si>
  <si>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</si>
  <si>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</si>
  <si>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</si>
  <si>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</si>
  <si>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</si>
  <si>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</si>
  <si>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</si>
  <si>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</si>
  <si>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</si>
  <si>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</si>
  <si>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</si>
  <si>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</si>
  <si>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</si>
  <si>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</si>
  <si>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</si>
  <si>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</si>
  <si>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</si>
  <si>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</si>
  <si>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</si>
  <si>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</si>
  <si>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</si>
  <si>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</si>
  <si>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</si>
  <si>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</si>
  <si>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</si>
  <si>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</si>
  <si>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</si>
  <si>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</si>
  <si>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</si>
  <si>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</si>
  <si>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</si>
  <si>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</si>
  <si>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</si>
  <si>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</si>
  <si>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</si>
  <si>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</si>
  <si>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</si>
  <si>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</si>
  <si>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</si>
  <si>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</si>
  <si>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</si>
  <si>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</si>
  <si>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</si>
  <si>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</si>
  <si>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</si>
  <si>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</si>
  <si>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</si>
  <si>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</si>
  <si>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</si>
  <si>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</si>
  <si>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</si>
  <si>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</si>
  <si>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</si>
  <si>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</si>
  <si>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</si>
  <si>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</si>
  <si>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</si>
  <si>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</si>
  <si>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</si>
  <si>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</si>
  <si>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</si>
  <si>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</si>
  <si>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</si>
  <si>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</si>
  <si>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</si>
  <si>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</si>
  <si>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</si>
  <si>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</si>
  <si>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</si>
  <si>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</si>
  <si>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</si>
  <si>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</si>
  <si>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</si>
  <si>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</si>
  <si>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</si>
  <si>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</si>
  <si>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</si>
  <si>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</si>
  <si>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</si>
  <si>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</si>
  <si>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</si>
  <si>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</si>
  <si>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</si>
  <si>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</si>
  <si>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</si>
  <si>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</si>
  <si>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</si>
  <si>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</si>
  <si>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</si>
  <si>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</si>
  <si>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</si>
  <si>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</si>
  <si>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</si>
  <si>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</si>
  <si>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</si>
  <si>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</si>
  <si>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</si>
  <si>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</si>
  <si>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</si>
  <si>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</si>
  <si>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</si>
  <si>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</si>
  <si>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</si>
  <si>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</si>
  <si>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</si>
  <si>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</si>
  <si>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</si>
  <si>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</si>
  <si>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</si>
  <si>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</si>
  <si>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</si>
  <si>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</si>
  <si>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</si>
  <si>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</si>
  <si>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</si>
  <si>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</si>
  <si>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</si>
  <si>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</si>
  <si>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</si>
  <si>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</si>
  <si>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</si>
  <si>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</si>
  <si>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</si>
  <si>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</si>
  <si>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</si>
  <si>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</si>
  <si>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</si>
  <si>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</si>
  <si>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</si>
  <si>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</si>
  <si>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</si>
  <si>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</si>
  <si>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</si>
  <si>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</si>
  <si>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</si>
  <si>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</si>
  <si>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</si>
  <si>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</si>
  <si>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</si>
  <si>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</si>
  <si>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</si>
  <si>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</si>
  <si>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</si>
  <si>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</si>
  <si>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</si>
  <si>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group_id</t>
  </si>
  <si>
    <t>group_name</t>
  </si>
  <si>
    <t>INSERT INTO GROUPSTAGE (group_id, group_name) VALUES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</si>
  <si>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</si>
  <si>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</si>
  <si>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</si>
  <si>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</si>
  <si>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</si>
  <si>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</si>
  <si>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</si>
  <si>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</si>
  <si>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</si>
  <si>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</si>
  <si>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</si>
  <si>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</si>
  <si>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</si>
  <si>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</si>
  <si>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</si>
  <si>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</si>
  <si>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</si>
  <si>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</si>
  <si>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</si>
  <si>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</si>
  <si>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</si>
  <si>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</si>
  <si>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</si>
  <si>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</si>
  <si>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</si>
  <si>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</si>
  <si>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</si>
  <si>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>INSERT INTO TEAM (team_id, team_name, group_id) VALUES</t>
  </si>
  <si>
    <t>チーム名</t>
  </si>
  <si>
    <t>fifarank</t>
  </si>
  <si>
    <t>--work　日本語名</t>
  </si>
  <si>
    <t>INSERT INTO FIFARANK (fifarank, team_id) VALUES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</si>
  <si>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</si>
  <si>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</si>
  <si>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</si>
  <si>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</si>
  <si>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</si>
  <si>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</si>
  <si>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</si>
  <si>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</si>
  <si>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</si>
  <si>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</si>
  <si>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</si>
  <si>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</si>
  <si>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</si>
  <si>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</si>
  <si>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</si>
  <si>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</si>
  <si>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</si>
  <si>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</si>
  <si>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</si>
  <si>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</si>
  <si>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</si>
  <si>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</si>
  <si>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</si>
  <si>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</si>
  <si>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</si>
  <si>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</si>
  <si>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</si>
  <si>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</si>
  <si>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</si>
  <si>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</si>
  <si>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</si>
  <si>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</si>
  <si>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</si>
  <si>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</si>
  <si>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</si>
  <si>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</si>
  <si>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</si>
  <si>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</si>
  <si>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</si>
  <si>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</si>
  <si>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</si>
  <si>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</si>
  <si>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</si>
  <si>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</si>
  <si>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</si>
  <si>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</si>
  <si>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</si>
  <si>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</si>
  <si>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</si>
  <si>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</si>
  <si>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</si>
  <si>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</si>
  <si>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</si>
  <si>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</si>
  <si>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</si>
  <si>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</si>
  <si>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</si>
  <si>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</si>
  <si>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</si>
  <si>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</si>
  <si>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</si>
  <si>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</si>
  <si>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</si>
  <si>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</si>
  <si>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</si>
  <si>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</si>
  <si>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</si>
  <si>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</si>
  <si>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</si>
  <si>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</si>
  <si>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</si>
  <si>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</si>
  <si>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</si>
  <si>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</si>
  <si>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</si>
  <si>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</si>
  <si>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</si>
  <si>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</si>
  <si>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</si>
  <si>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</si>
  <si>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</si>
  <si>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</si>
  <si>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</si>
  <si>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</si>
  <si>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</si>
  <si>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</si>
  <si>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</si>
  <si>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</si>
  <si>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</si>
  <si>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</si>
  <si>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</si>
  <si>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</si>
  <si>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</si>
  <si>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</si>
  <si>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</si>
  <si>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</si>
  <si>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</si>
  <si>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</si>
  <si>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</si>
  <si>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</si>
  <si>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</si>
  <si>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</si>
  <si>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</si>
  <si>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</si>
  <si>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</si>
  <si>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</si>
  <si>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</si>
  <si>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</si>
  <si>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</si>
  <si>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</si>
  <si>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</si>
  <si>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</si>
  <si>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</si>
  <si>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</si>
  <si>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</si>
  <si>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</si>
  <si>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</si>
  <si>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</si>
  <si>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</si>
  <si>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</si>
  <si>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</si>
  <si>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</si>
  <si>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</si>
  <si>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</si>
  <si>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</si>
  <si>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</si>
  <si>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</si>
  <si>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</si>
  <si>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</si>
  <si>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</si>
  <si>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</si>
  <si>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</si>
  <si>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</si>
  <si>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</si>
  <si>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</si>
  <si>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</si>
  <si>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</si>
  <si>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</si>
  <si>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</si>
  <si>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</si>
  <si>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</si>
  <si>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</si>
  <si>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</si>
  <si>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</si>
  <si>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</si>
  <si>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</si>
  <si>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</si>
  <si>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</si>
  <si>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</si>
  <si>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</si>
  <si>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</si>
  <si>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</si>
  <si>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</si>
  <si>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</si>
  <si>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</si>
  <si>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</si>
  <si>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</si>
  <si>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</si>
  <si>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</si>
  <si>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</si>
  <si>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</si>
  <si>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</si>
  <si>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</si>
  <si>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</si>
  <si>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</si>
  <si>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</si>
  <si>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</si>
  <si>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</si>
  <si>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</si>
  <si>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</si>
  <si>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</si>
  <si>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</si>
  <si>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</si>
  <si>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</si>
  <si>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</si>
  <si>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</si>
  <si>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</si>
  <si>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</si>
  <si>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</si>
  <si>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</si>
  <si>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</si>
  <si>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</si>
  <si>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</si>
  <si>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</si>
  <si>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</si>
  <si>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</si>
  <si>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</si>
  <si>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</si>
  <si>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</si>
  <si>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</si>
  <si>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</si>
  <si>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</si>
  <si>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</si>
  <si>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</si>
  <si>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</si>
  <si>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</si>
  <si>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</si>
  <si>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</si>
  <si>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</si>
  <si>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</si>
  <si>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</si>
  <si>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</si>
  <si>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</si>
  <si>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</si>
  <si>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</si>
  <si>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</si>
  <si>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</si>
  <si>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</si>
  <si>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</si>
  <si>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</si>
  <si>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</si>
  <si>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</si>
  <si>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</si>
  <si>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</si>
  <si>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</si>
  <si>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</si>
  <si>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</si>
  <si>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</si>
  <si>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</si>
  <si>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</si>
  <si>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</si>
  <si>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</si>
  <si>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</si>
  <si>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</si>
  <si>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</si>
  <si>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</si>
  <si>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</si>
  <si>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</si>
  <si>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</si>
  <si>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</si>
  <si>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</si>
  <si>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</si>
  <si>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</si>
  <si>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</si>
  <si>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</si>
  <si>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</si>
  <si>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</si>
  <si>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</si>
  <si>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</si>
  <si>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</si>
  <si>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</si>
  <si>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</si>
  <si>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</si>
  <si>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</si>
  <si>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</si>
  <si>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</si>
  <si>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</si>
  <si>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</si>
  <si>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</si>
  <si>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</si>
  <si>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</si>
  <si>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</si>
  <si>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</si>
  <si>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</si>
  <si>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</si>
  <si>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</si>
  <si>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</si>
  <si>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</si>
  <si>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</si>
  <si>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</si>
  <si>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</si>
  <si>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</si>
  <si>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</si>
  <si>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</si>
  <si>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</si>
  <si>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</si>
  <si>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</si>
  <si>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</si>
  <si>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</si>
  <si>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</si>
  <si>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</si>
  <si>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</si>
  <si>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</si>
  <si>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</si>
  <si>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</si>
  <si>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</si>
  <si>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</si>
  <si>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</si>
  <si>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</si>
  <si>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</si>
  <si>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</si>
  <si>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</si>
  <si>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</si>
  <si>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</si>
  <si>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</si>
  <si>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</si>
  <si>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</si>
  <si>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</si>
  <si>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</si>
  <si>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</si>
  <si>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</si>
  <si>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</si>
  <si>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</si>
  <si>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</si>
  <si>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</si>
  <si>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</si>
  <si>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</si>
  <si>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</si>
  <si>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</si>
  <si>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</si>
  <si>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</si>
  <si>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</si>
  <si>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</si>
  <si>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</si>
  <si>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</si>
  <si>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</si>
  <si>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</si>
  <si>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</si>
  <si>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</si>
  <si>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</si>
  <si>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</si>
  <si>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</si>
  <si>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</si>
  <si>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</si>
  <si>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</si>
  <si>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</si>
  <si>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</si>
  <si>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</si>
  <si>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</si>
  <si>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</si>
  <si>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</si>
  <si>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</si>
  <si>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</si>
  <si>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</si>
  <si>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</si>
  <si>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</si>
  <si>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STEP0</t>
  </si>
  <si>
    <t>グループ内の勝ち点</t>
  </si>
  <si>
    <t>STEP1</t>
  </si>
  <si>
    <t>グループの順位表</t>
  </si>
  <si>
    <t>当該チーム間の試合の勝ち点</t>
  </si>
  <si>
    <t>当該チーム間の試合の得失点差</t>
  </si>
  <si>
    <t>IDX</t>
  </si>
  <si>
    <t>日本語名</t>
  </si>
  <si>
    <t>'X' AS 'X',</t>
  </si>
  <si>
    <t>当該チーム間の試合の最高得点</t>
  </si>
  <si>
    <t>グループ</t>
  </si>
  <si>
    <t>※順位がつかなくなるまで繰り返し</t>
  </si>
  <si>
    <t>rank</t>
  </si>
  <si>
    <t>順位</t>
  </si>
  <si>
    <t>STEP2</t>
  </si>
  <si>
    <t>advance_flg</t>
  </si>
  <si>
    <t>決勝進出フラグ　1:進出　0:敗退</t>
  </si>
  <si>
    <t>結果</t>
  </si>
  <si>
    <t>グループ内の得失点差</t>
  </si>
  <si>
    <t>チーム</t>
  </si>
  <si>
    <t>グループ内の最高得点</t>
  </si>
  <si>
    <t>r1</t>
  </si>
  <si>
    <t>チーム１との対戦結果</t>
  </si>
  <si>
    <t>結果１</t>
  </si>
  <si>
    <t>r2</t>
  </si>
  <si>
    <t>チーム２との対戦結果</t>
  </si>
  <si>
    <t>結果２</t>
  </si>
  <si>
    <t>※繰り返さない</t>
  </si>
  <si>
    <t>r3</t>
  </si>
  <si>
    <t>チーム３との対戦結果</t>
  </si>
  <si>
    <t>結果３</t>
  </si>
  <si>
    <t>STEP3</t>
  </si>
  <si>
    <t>r4</t>
  </si>
  <si>
    <t>チーム４との対戦結果</t>
  </si>
  <si>
    <t>結果４</t>
  </si>
  <si>
    <t>played</t>
  </si>
  <si>
    <t>消化した試合の数</t>
  </si>
  <si>
    <t>試合数</t>
  </si>
  <si>
    <t>win</t>
  </si>
  <si>
    <t>勝ちの数</t>
  </si>
  <si>
    <t>勝</t>
  </si>
  <si>
    <t>draw</t>
  </si>
  <si>
    <t>引き分けの数</t>
  </si>
  <si>
    <t>分</t>
  </si>
  <si>
    <t>loss</t>
  </si>
  <si>
    <t>負けの数</t>
  </si>
  <si>
    <t>負</t>
  </si>
  <si>
    <t>goal_scored</t>
  </si>
  <si>
    <t>総得点</t>
  </si>
  <si>
    <t>goal_allowed</t>
  </si>
  <si>
    <t>総失点</t>
  </si>
  <si>
    <t>goal_difference</t>
  </si>
  <si>
    <t>得失点差</t>
  </si>
  <si>
    <t>TCS</t>
  </si>
  <si>
    <t>points</t>
  </si>
  <si>
    <t>勝ち点</t>
  </si>
  <si>
    <t>3位グループの中での順位</t>
  </si>
  <si>
    <t>3位内順位</t>
  </si>
  <si>
    <t>突破</t>
  </si>
  <si>
    <t>-</t>
  </si>
  <si>
    <t>2-0</t>
  </si>
  <si>
    <t>1-0</t>
  </si>
  <si>
    <t>3-0</t>
  </si>
  <si>
    <t>3</t>
  </si>
  <si>
    <t>0</t>
  </si>
  <si>
    <t>6</t>
  </si>
  <si>
    <t>-6</t>
  </si>
  <si>
    <t>9</t>
  </si>
  <si>
    <t>14</t>
  </si>
  <si>
    <t>0-2</t>
  </si>
  <si>
    <t>1-1</t>
  </si>
  <si>
    <t>-1</t>
  </si>
  <si>
    <t>-13</t>
  </si>
  <si>
    <t>4</t>
  </si>
  <si>
    <t>60</t>
  </si>
  <si>
    <t>敗退</t>
  </si>
  <si>
    <t>0-1</t>
  </si>
  <si>
    <t>2-1</t>
  </si>
  <si>
    <t>-4</t>
  </si>
  <si>
    <t>25</t>
  </si>
  <si>
    <t>0-3</t>
  </si>
  <si>
    <t>1-2</t>
  </si>
  <si>
    <t>40</t>
  </si>
  <si>
    <t>4-1</t>
  </si>
  <si>
    <t>7</t>
  </si>
  <si>
    <t>-3</t>
  </si>
  <si>
    <t>19</t>
  </si>
  <si>
    <t>6-0</t>
  </si>
  <si>
    <t>8</t>
  </si>
  <si>
    <t>5</t>
  </si>
  <si>
    <t>-5</t>
  </si>
  <si>
    <t>30</t>
  </si>
  <si>
    <t>1-4</t>
  </si>
  <si>
    <t>3-1</t>
  </si>
  <si>
    <t>-10</t>
  </si>
  <si>
    <t>64</t>
  </si>
  <si>
    <t>0-6</t>
  </si>
  <si>
    <t>1-3</t>
  </si>
  <si>
    <t>-8</t>
  </si>
  <si>
    <t>-12</t>
  </si>
  <si>
    <t>56</t>
  </si>
  <si>
    <t>4-2</t>
  </si>
  <si>
    <t>42</t>
  </si>
  <si>
    <t>2-4</t>
  </si>
  <si>
    <t>-7</t>
  </si>
  <si>
    <t>83</t>
  </si>
  <si>
    <t>2-3</t>
  </si>
  <si>
    <t>17</t>
  </si>
  <si>
    <t>0-0</t>
  </si>
  <si>
    <t>27</t>
  </si>
  <si>
    <t>-2</t>
  </si>
  <si>
    <t>41</t>
  </si>
  <si>
    <t>3-2</t>
  </si>
  <si>
    <t>22</t>
  </si>
  <si>
    <t>7-1</t>
  </si>
  <si>
    <t>33</t>
  </si>
  <si>
    <t>23</t>
  </si>
  <si>
    <t>1-7</t>
  </si>
  <si>
    <t>82</t>
  </si>
  <si>
    <t>2-2</t>
  </si>
  <si>
    <t>5-1</t>
  </si>
  <si>
    <t>4-0</t>
  </si>
  <si>
    <t>18</t>
  </si>
  <si>
    <t>1-5</t>
  </si>
  <si>
    <t>38</t>
  </si>
  <si>
    <t>0-4</t>
  </si>
  <si>
    <t>45</t>
  </si>
  <si>
    <t>29</t>
  </si>
  <si>
    <t>20</t>
  </si>
  <si>
    <t>85</t>
  </si>
  <si>
    <t>67</t>
  </si>
  <si>
    <t>-9</t>
  </si>
  <si>
    <t>16</t>
  </si>
  <si>
    <t>61</t>
  </si>
  <si>
    <t>31</t>
  </si>
  <si>
    <t>5-0</t>
  </si>
  <si>
    <t>15</t>
  </si>
  <si>
    <t>0-5</t>
  </si>
  <si>
    <t>-11</t>
  </si>
  <si>
    <t>57</t>
  </si>
  <si>
    <t>3-3</t>
  </si>
  <si>
    <t>24</t>
  </si>
  <si>
    <t>28</t>
  </si>
  <si>
    <t>63</t>
  </si>
  <si>
    <t>13</t>
  </si>
  <si>
    <t>46</t>
  </si>
  <si>
    <t>50</t>
  </si>
  <si>
    <t>73</t>
  </si>
  <si>
    <t>34</t>
  </si>
  <si>
    <t>グループの順位表　STEP0の結果</t>
  </si>
  <si>
    <t>グループの順位表　STEP1の結果</t>
  </si>
  <si>
    <t>グループの順位表　STEP2の結果</t>
  </si>
  <si>
    <t>グループの順位表　STEP3の結果</t>
  </si>
  <si>
    <t>全グループステージで獲得した勝ち点</t>
  </si>
  <si>
    <t>全試合での得失点差</t>
  </si>
  <si>
    <t>全試合での総得点</t>
  </si>
  <si>
    <t>3位チームの順位</t>
  </si>
  <si>
    <t>rkbn</t>
  </si>
  <si>
    <t>レコード区分　1:フィールド行　2:データ行</t>
  </si>
  <si>
    <t>⇒</t>
  </si>
  <si>
    <t>GRMT_FIL</t>
  </si>
  <si>
    <t>GRMT_JOIN</t>
  </si>
  <si>
    <t>GRRANK</t>
  </si>
  <si>
    <t>FIELD</t>
  </si>
  <si>
    <t>HOME</t>
  </si>
  <si>
    <t>AWAY</t>
  </si>
  <si>
    <t>team_id_away</t>
  </si>
  <si>
    <t>result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</si>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</sst>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4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11"/>
      <name val="メイリオ"/>
      <charset val="134"/>
    </font>
    <font>
      <sz val="11"/>
      <color theme="1"/>
      <name val="メイリオ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4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1" applyNumberFormat="0" applyFill="0" applyAlignment="0" applyProtection="0">
      <alignment vertical="center"/>
    </xf>
    <xf numFmtId="0" fontId="10" fillId="0" borderId="41" applyNumberFormat="0" applyFill="0" applyAlignment="0" applyProtection="0">
      <alignment vertical="center"/>
    </xf>
    <xf numFmtId="0" fontId="11" fillId="0" borderId="4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3" applyNumberFormat="0" applyAlignment="0" applyProtection="0">
      <alignment vertical="center"/>
    </xf>
    <xf numFmtId="0" fontId="13" fillId="11" borderId="44" applyNumberFormat="0" applyAlignment="0" applyProtection="0">
      <alignment vertical="center"/>
    </xf>
    <xf numFmtId="0" fontId="14" fillId="11" borderId="43" applyNumberFormat="0" applyAlignment="0" applyProtection="0">
      <alignment vertical="center"/>
    </xf>
    <xf numFmtId="0" fontId="15" fillId="12" borderId="45" applyNumberFormat="0" applyAlignment="0" applyProtection="0">
      <alignment vertical="center"/>
    </xf>
    <xf numFmtId="0" fontId="16" fillId="0" borderId="46" applyNumberFormat="0" applyFill="0" applyAlignment="0" applyProtection="0">
      <alignment vertical="center"/>
    </xf>
    <xf numFmtId="0" fontId="17" fillId="0" borderId="47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9" fontId="0" fillId="0" borderId="0" xfId="0" applyNumberFormat="1">
      <alignment vertical="center"/>
    </xf>
    <xf numFmtId="0" fontId="0" fillId="4" borderId="2" xfId="0" applyFill="1" applyBorder="1">
      <alignment vertical="center"/>
    </xf>
    <xf numFmtId="49" fontId="0" fillId="4" borderId="2" xfId="0" applyNumberFormat="1" applyFill="1" applyBorder="1">
      <alignment vertical="center"/>
    </xf>
    <xf numFmtId="0" fontId="0" fillId="4" borderId="2" xfId="0" applyFill="1" applyBorder="1" applyAlignment="1">
      <alignment vertical="center" wrapText="1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179" fontId="0" fillId="0" borderId="6" xfId="1" applyNumberFormat="1" applyBorder="1">
      <alignment vertical="center"/>
    </xf>
    <xf numFmtId="179" fontId="0" fillId="0" borderId="7" xfId="1" applyNumberForma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49" fontId="0" fillId="0" borderId="7" xfId="0" applyNumberFormat="1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3" xfId="0" applyBorder="1">
      <alignment vertical="center"/>
    </xf>
    <xf numFmtId="49" fontId="0" fillId="0" borderId="14" xfId="0" applyNumberFormat="1" applyBorder="1">
      <alignment vertical="center"/>
    </xf>
    <xf numFmtId="49" fontId="0" fillId="0" borderId="15" xfId="0" applyNumberFormat="1" applyBorder="1">
      <alignment vertical="center"/>
    </xf>
    <xf numFmtId="49" fontId="0" fillId="0" borderId="1" xfId="0" applyNumberFormat="1" applyBorder="1">
      <alignment vertical="center"/>
    </xf>
    <xf numFmtId="179" fontId="0" fillId="0" borderId="1" xfId="1" applyNumberFormat="1" applyBorder="1">
      <alignment vertical="center"/>
    </xf>
    <xf numFmtId="179" fontId="0" fillId="0" borderId="16" xfId="1" applyNumberFormat="1" applyBorder="1">
      <alignment vertical="center"/>
    </xf>
    <xf numFmtId="0" fontId="0" fillId="0" borderId="15" xfId="0" applyBorder="1">
      <alignment vertical="center"/>
    </xf>
    <xf numFmtId="0" fontId="0" fillId="0" borderId="1" xfId="0" applyBorder="1">
      <alignment vertical="center"/>
    </xf>
    <xf numFmtId="0" fontId="0" fillId="0" borderId="16" xfId="0" applyBorder="1">
      <alignment vertical="center"/>
    </xf>
    <xf numFmtId="49" fontId="0" fillId="0" borderId="16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7" xfId="0" applyBorder="1">
      <alignment vertical="center"/>
    </xf>
    <xf numFmtId="0" fontId="0" fillId="0" borderId="14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49" fontId="0" fillId="0" borderId="19" xfId="0" applyNumberFormat="1" applyBorder="1">
      <alignment vertical="center"/>
    </xf>
    <xf numFmtId="49" fontId="0" fillId="0" borderId="20" xfId="0" applyNumberFormat="1" applyBorder="1">
      <alignment vertical="center"/>
    </xf>
    <xf numFmtId="49" fontId="0" fillId="0" borderId="4" xfId="0" applyNumberFormat="1" applyBorder="1">
      <alignment vertical="center"/>
    </xf>
    <xf numFmtId="49" fontId="0" fillId="0" borderId="22" xfId="0" applyNumberFormat="1" applyBorder="1">
      <alignment vertical="center"/>
    </xf>
    <xf numFmtId="49" fontId="0" fillId="0" borderId="23" xfId="0" applyNumberFormat="1" applyBorder="1">
      <alignment vertical="center"/>
    </xf>
    <xf numFmtId="49" fontId="0" fillId="0" borderId="2" xfId="0" applyNumberFormat="1" applyBorder="1">
      <alignment vertical="center"/>
    </xf>
    <xf numFmtId="179" fontId="0" fillId="0" borderId="2" xfId="1" applyNumberFormat="1" applyBorder="1">
      <alignment vertical="center"/>
    </xf>
    <xf numFmtId="179" fontId="0" fillId="0" borderId="24" xfId="1" applyNumberFormat="1" applyBorder="1">
      <alignment vertical="center"/>
    </xf>
    <xf numFmtId="49" fontId="0" fillId="0" borderId="0" xfId="0" applyNumberFormat="1" applyAlignment="1">
      <alignment vertical="center"/>
    </xf>
    <xf numFmtId="49" fontId="1" fillId="5" borderId="25" xfId="0" applyNumberFormat="1" applyFont="1" applyFill="1" applyBorder="1" applyAlignment="1">
      <alignment horizontal="center" vertical="center"/>
    </xf>
    <xf numFmtId="49" fontId="1" fillId="5" borderId="26" xfId="0" applyNumberFormat="1" applyFont="1" applyFill="1" applyBorder="1" applyAlignment="1">
      <alignment horizontal="center" vertical="center"/>
    </xf>
    <xf numFmtId="49" fontId="1" fillId="5" borderId="27" xfId="0" applyNumberFormat="1" applyFont="1" applyFill="1" applyBorder="1" applyAlignment="1">
      <alignment horizontal="center" vertical="center"/>
    </xf>
    <xf numFmtId="49" fontId="2" fillId="6" borderId="28" xfId="0" applyNumberFormat="1" applyFont="1" applyFill="1" applyBorder="1" applyAlignment="1">
      <alignment horizontal="center" vertical="center"/>
    </xf>
    <xf numFmtId="49" fontId="2" fillId="6" borderId="29" xfId="0" applyNumberFormat="1" applyFont="1" applyFill="1" applyBorder="1" applyAlignment="1">
      <alignment horizontal="center" vertical="center"/>
    </xf>
    <xf numFmtId="49" fontId="2" fillId="6" borderId="30" xfId="0" applyNumberFormat="1" applyFont="1" applyFill="1" applyBorder="1" applyAlignment="1">
      <alignment horizontal="center" vertical="center"/>
    </xf>
    <xf numFmtId="49" fontId="2" fillId="0" borderId="31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vertical="center"/>
    </xf>
    <xf numFmtId="49" fontId="2" fillId="0" borderId="32" xfId="0" applyNumberFormat="1" applyFont="1" applyFill="1" applyBorder="1" applyAlignment="1">
      <alignment horizontal="center" vertical="center"/>
    </xf>
    <xf numFmtId="49" fontId="2" fillId="0" borderId="33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34" xfId="0" applyNumberFormat="1" applyFont="1" applyFill="1" applyBorder="1" applyAlignment="1">
      <alignment horizontal="center" vertical="center"/>
    </xf>
    <xf numFmtId="49" fontId="2" fillId="0" borderId="35" xfId="0" applyNumberFormat="1" applyFont="1" applyFill="1" applyBorder="1" applyAlignment="1">
      <alignment horizontal="center" vertical="center"/>
    </xf>
    <xf numFmtId="49" fontId="2" fillId="0" borderId="19" xfId="0" applyNumberFormat="1" applyFont="1" applyFill="1" applyBorder="1" applyAlignment="1">
      <alignment horizontal="center" vertical="center"/>
    </xf>
    <xf numFmtId="49" fontId="2" fillId="0" borderId="19" xfId="0" applyNumberFormat="1" applyFont="1" applyFill="1" applyBorder="1" applyAlignment="1">
      <alignment vertical="center"/>
    </xf>
    <xf numFmtId="49" fontId="2" fillId="0" borderId="36" xfId="0" applyNumberFormat="1" applyFont="1" applyFill="1" applyBorder="1" applyAlignment="1">
      <alignment horizontal="center" vertical="center"/>
    </xf>
    <xf numFmtId="49" fontId="2" fillId="0" borderId="33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34" xfId="0" applyNumberFormat="1" applyFont="1" applyFill="1" applyBorder="1" applyAlignment="1">
      <alignment horizontal="center" vertical="center"/>
    </xf>
    <xf numFmtId="49" fontId="2" fillId="0" borderId="35" xfId="0" applyNumberFormat="1" applyFont="1" applyFill="1" applyBorder="1" applyAlignment="1">
      <alignment horizontal="center" vertical="center"/>
    </xf>
    <xf numFmtId="49" fontId="2" fillId="0" borderId="19" xfId="0" applyNumberFormat="1" applyFont="1" applyFill="1" applyBorder="1" applyAlignment="1">
      <alignment horizontal="center" vertical="center"/>
    </xf>
    <xf numFmtId="49" fontId="2" fillId="0" borderId="19" xfId="0" applyNumberFormat="1" applyFont="1" applyFill="1" applyBorder="1" applyAlignment="1">
      <alignment vertical="center"/>
    </xf>
    <xf numFmtId="49" fontId="2" fillId="0" borderId="36" xfId="0" applyNumberFormat="1" applyFont="1" applyFill="1" applyBorder="1" applyAlignment="1">
      <alignment horizontal="center" vertical="center"/>
    </xf>
    <xf numFmtId="49" fontId="2" fillId="6" borderId="28" xfId="0" applyNumberFormat="1" applyFont="1" applyFill="1" applyBorder="1" applyAlignment="1">
      <alignment horizontal="center" vertical="center"/>
    </xf>
    <xf numFmtId="49" fontId="2" fillId="6" borderId="29" xfId="0" applyNumberFormat="1" applyFont="1" applyFill="1" applyBorder="1" applyAlignment="1">
      <alignment horizontal="center" vertical="center"/>
    </xf>
    <xf numFmtId="49" fontId="2" fillId="6" borderId="30" xfId="0" applyNumberFormat="1" applyFont="1" applyFill="1" applyBorder="1" applyAlignment="1">
      <alignment horizontal="center" vertical="center"/>
    </xf>
    <xf numFmtId="49" fontId="2" fillId="0" borderId="31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vertical="center"/>
    </xf>
    <xf numFmtId="49" fontId="2" fillId="0" borderId="32" xfId="0" applyNumberFormat="1" applyFont="1" applyFill="1" applyBorder="1" applyAlignment="1">
      <alignment horizontal="center" vertical="center"/>
    </xf>
    <xf numFmtId="49" fontId="2" fillId="0" borderId="31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horizontal="center" vertical="center"/>
    </xf>
    <xf numFmtId="49" fontId="2" fillId="0" borderId="4" xfId="0" applyNumberFormat="1" applyFont="1" applyFill="1" applyBorder="1" applyAlignment="1">
      <alignment vertical="center"/>
    </xf>
    <xf numFmtId="49" fontId="2" fillId="0" borderId="32" xfId="0" applyNumberFormat="1" applyFont="1" applyFill="1" applyBorder="1" applyAlignment="1">
      <alignment horizontal="center" vertical="center"/>
    </xf>
    <xf numFmtId="49" fontId="2" fillId="0" borderId="37" xfId="0" applyNumberFormat="1" applyFont="1" applyFill="1" applyBorder="1" applyAlignment="1">
      <alignment horizontal="center" vertical="center"/>
    </xf>
    <xf numFmtId="49" fontId="2" fillId="0" borderId="38" xfId="0" applyNumberFormat="1" applyFont="1" applyFill="1" applyBorder="1" applyAlignment="1">
      <alignment horizontal="center" vertical="center"/>
    </xf>
    <xf numFmtId="49" fontId="2" fillId="0" borderId="38" xfId="0" applyNumberFormat="1" applyFont="1" applyFill="1" applyBorder="1" applyAlignment="1">
      <alignment vertical="center"/>
    </xf>
    <xf numFmtId="49" fontId="2" fillId="0" borderId="39" xfId="0" applyNumberFormat="1" applyFont="1" applyFill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179" fontId="0" fillId="0" borderId="0" xfId="1" applyNumberFormat="1">
      <alignment vertical="center"/>
    </xf>
    <xf numFmtId="179" fontId="0" fillId="0" borderId="0" xfId="1" applyNumberFormat="1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8" borderId="0" xfId="0" applyFill="1">
      <alignment vertical="center"/>
    </xf>
    <xf numFmtId="0" fontId="0" fillId="0" borderId="0" xfId="0" applyFill="1" applyBorder="1" quotePrefix="1">
      <alignment vertical="center"/>
    </xf>
    <xf numFmtId="0" fontId="0" fillId="0" borderId="0" xfId="0" quotePrefix="1">
      <alignment vertical="center"/>
    </xf>
    <xf numFmtId="0" fontId="0" fillId="0" borderId="5" xfId="0" applyBorder="1" quotePrefix="1">
      <alignment vertical="center"/>
    </xf>
    <xf numFmtId="0" fontId="0" fillId="0" borderId="8" xfId="0" applyBorder="1" quotePrefix="1">
      <alignment vertical="center"/>
    </xf>
    <xf numFmtId="0" fontId="0" fillId="0" borderId="12" xfId="0" applyBorder="1" quotePrefix="1">
      <alignment vertical="center"/>
    </xf>
    <xf numFmtId="0" fontId="0" fillId="0" borderId="15" xfId="0" applyBorder="1" quotePrefix="1">
      <alignment vertical="center"/>
    </xf>
    <xf numFmtId="0" fontId="0" fillId="0" borderId="12" xfId="0" applyBorder="1" quotePrefix="1">
      <alignment vertical="center"/>
    </xf>
    <xf numFmtId="0" fontId="0" fillId="0" borderId="18" xfId="0" applyBorder="1" quotePrefix="1">
      <alignment vertical="center"/>
    </xf>
    <xf numFmtId="0" fontId="0" fillId="0" borderId="21" xfId="0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workbookViewId="0">
      <selection activeCell="A1" sqref="A1"/>
    </sheetView>
  </sheetViews>
  <sheetFormatPr defaultColWidth="3.77777777777778" defaultRowHeight="18.75" outlineLevelRow="5" outlineLevelCol="2"/>
  <cols>
    <col min="1" max="1" width="3.77777777777778" customWidth="1"/>
  </cols>
  <sheetData>
    <row r="2" spans="2:3">
      <c r="B2" t="s">
        <v>0</v>
      </c>
    </row>
    <row r="3" spans="2:3">
      <c r="C3" t="s">
        <v>1</v>
      </c>
    </row>
    <row r="5" spans="2:3">
      <c r="B5" t="s">
        <v>2</v>
      </c>
    </row>
    <row r="6" spans="2:3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45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</cols>
  <sheetData>
    <row r="2" spans="2:4">
      <c r="B2" t="s">
        <v>4</v>
      </c>
    </row>
    <row r="3" spans="2:4">
      <c r="C3" t="s">
        <v>5</v>
      </c>
    </row>
    <row r="4" spans="2:4">
      <c r="C4" s="104" t="s">
        <v>6</v>
      </c>
    </row>
    <row r="5" spans="2:4">
      <c r="D5" t="s">
        <v>7</v>
      </c>
    </row>
    <row r="7" spans="2:4">
      <c r="C7" t="s">
        <v>8</v>
      </c>
    </row>
    <row r="8" spans="2:4">
      <c r="D8" t="s">
        <v>9</v>
      </c>
    </row>
    <row r="9" spans="2:4">
      <c r="D9" t="s">
        <v>10</v>
      </c>
    </row>
    <row r="10" spans="2:4">
      <c r="D10" t="s">
        <v>11</v>
      </c>
    </row>
    <row r="12" spans="2:4">
      <c r="D12" t="s">
        <v>12</v>
      </c>
    </row>
    <row r="13" spans="2:4">
      <c r="D13" t="s">
        <v>13</v>
      </c>
    </row>
    <row r="15" spans="2:4">
      <c r="B15" t="s">
        <v>14</v>
      </c>
    </row>
    <row r="16" spans="2:4">
      <c r="C16" t="s">
        <v>15</v>
      </c>
    </row>
    <row r="18" spans="2:4">
      <c r="B18" t="s">
        <v>16</v>
      </c>
    </row>
    <row r="19" spans="2:4">
      <c r="C19" t="s">
        <v>17</v>
      </c>
    </row>
    <row r="21" spans="2:4">
      <c r="B21" t="s">
        <v>18</v>
      </c>
    </row>
    <row r="22" spans="2:4">
      <c r="C22" t="s">
        <v>19</v>
      </c>
    </row>
    <row r="24" spans="2:4">
      <c r="B24" t="s">
        <v>20</v>
      </c>
    </row>
    <row r="25" spans="2:4">
      <c r="C25" t="s">
        <v>21</v>
      </c>
    </row>
    <row r="27" spans="2:4">
      <c r="B27" t="s">
        <v>22</v>
      </c>
    </row>
    <row r="28" spans="2:4">
      <c r="C28" t="s">
        <v>23</v>
      </c>
    </row>
    <row r="30" spans="2:4">
      <c r="B30" t="s">
        <v>24</v>
      </c>
    </row>
    <row r="31" spans="2:4">
      <c r="C31" t="s">
        <v>25</v>
      </c>
    </row>
    <row r="32" spans="2:4">
      <c r="D32" s="105" t="s">
        <v>26</v>
      </c>
    </row>
    <row r="33" spans="3:5">
      <c r="C33" t="s">
        <v>27</v>
      </c>
      <c r="D33" t="s">
        <v>28</v>
      </c>
      <c r="E33" t="str">
        <f t="shared" ref="E33:E45" si="0">".read "&amp;$D$32&amp;D33&amp;C33&amp;".sql"</f>
        <v>.read C:\Users\naked\Documents\github\worldcup\table\MATCHES.sql</v>
      </c>
    </row>
    <row r="34" spans="3:5">
      <c r="C34" t="s">
        <v>29</v>
      </c>
      <c r="D34" t="s">
        <v>28</v>
      </c>
      <c r="E34" t="str">
        <f t="shared" si="0"/>
        <v>.read C:\Users\naked\Documents\github\worldcup\table\MATCH_TEAM.sql</v>
      </c>
    </row>
    <row r="35" spans="3:5">
      <c r="C35" t="s">
        <v>30</v>
      </c>
      <c r="D35" t="s">
        <v>28</v>
      </c>
      <c r="E35" t="str">
        <f t="shared" si="0"/>
        <v>.read C:\Users\naked\Documents\github\worldcup\table\GROUPSTAGE.sql</v>
      </c>
    </row>
    <row r="36" spans="3:5">
      <c r="C36" t="s">
        <v>31</v>
      </c>
      <c r="D36" t="s">
        <v>28</v>
      </c>
      <c r="E36" t="str">
        <f t="shared" si="0"/>
        <v>.read C:\Users\naked\Documents\github\worldcup\table\TEAM.sql</v>
      </c>
    </row>
    <row r="37" spans="3:5">
      <c r="C37" t="s">
        <v>32</v>
      </c>
      <c r="D37" t="s">
        <v>28</v>
      </c>
      <c r="E37" t="str">
        <f t="shared" si="0"/>
        <v>.read C:\Users\naked\Documents\github\worldcup\table\FIFARANK.sql</v>
      </c>
    </row>
    <row r="38" spans="3:5">
      <c r="C38" t="s">
        <v>33</v>
      </c>
      <c r="D38" t="s">
        <v>34</v>
      </c>
      <c r="E38" t="str">
        <f t="shared" si="0"/>
        <v>.read C:\Users\naked\Documents\github\worldcup\view\GROUP_RANK.sql</v>
      </c>
    </row>
    <row r="39" spans="3:5">
      <c r="C39" t="s">
        <v>35</v>
      </c>
      <c r="D39" t="s">
        <v>34</v>
      </c>
      <c r="E39" t="str">
        <f t="shared" si="0"/>
        <v>.read C:\Users\naked\Documents\github\worldcup\view\GROUP_RANK0.sql</v>
      </c>
    </row>
    <row r="40" spans="3:5">
      <c r="C40" t="s">
        <v>36</v>
      </c>
      <c r="D40" t="s">
        <v>34</v>
      </c>
      <c r="E40" t="str">
        <f t="shared" si="0"/>
        <v>.read C:\Users\naked\Documents\github\worldcup\view\GROUP_RANK1.sql</v>
      </c>
    </row>
    <row r="41" spans="3:5">
      <c r="C41" t="s">
        <v>37</v>
      </c>
      <c r="D41" t="s">
        <v>34</v>
      </c>
      <c r="E41" t="str">
        <f t="shared" si="0"/>
        <v>.read C:\Users\naked\Documents\github\worldcup\view\GROUP_RANK2.sql</v>
      </c>
    </row>
    <row r="42" spans="3:5">
      <c r="C42" t="s">
        <v>38</v>
      </c>
      <c r="D42" t="s">
        <v>34</v>
      </c>
      <c r="E42" t="str">
        <f t="shared" si="0"/>
        <v>.read C:\Users\naked\Documents\github\worldcup\view\GROUP_RANK3.sql</v>
      </c>
    </row>
    <row r="43" spans="3:5">
      <c r="C43" t="s">
        <v>39</v>
      </c>
      <c r="D43" t="s">
        <v>34</v>
      </c>
      <c r="E43" t="str">
        <f t="shared" si="0"/>
        <v>.read C:\Users\naked\Documents\github\worldcup\view\EIGHT_OF_THIRD.sql</v>
      </c>
    </row>
    <row r="44" spans="3:5">
      <c r="C44" t="s">
        <v>40</v>
      </c>
      <c r="D44" t="s">
        <v>34</v>
      </c>
      <c r="E44" t="str">
        <f t="shared" si="0"/>
        <v>.read C:\Users\naked\Documents\github\worldcup\view\RESULTS_STATS.sql</v>
      </c>
    </row>
    <row r="45" spans="3:5">
      <c r="C45" t="s">
        <v>41</v>
      </c>
      <c r="D45" t="s">
        <v>34</v>
      </c>
      <c r="E45" t="str">
        <f t="shared" si="0"/>
        <v>.read C:\Users\naked\Documents\github\worldcup\view\SCORE_SHEET.sql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4">
      <c r="B2" t="s">
        <v>42</v>
      </c>
    </row>
    <row r="3" spans="2:4">
      <c r="B3" s="103" t="s">
        <v>43</v>
      </c>
    </row>
    <row r="4" spans="2:4">
      <c r="B4" s="103" t="s">
        <v>44</v>
      </c>
    </row>
    <row r="5" spans="2:4">
      <c r="B5" s="103" t="s">
        <v>45</v>
      </c>
    </row>
    <row r="7" spans="2:4">
      <c r="B7" s="2" t="s">
        <v>46</v>
      </c>
      <c r="C7" s="2" t="s">
        <v>47</v>
      </c>
      <c r="D7" s="2" t="s">
        <v>48</v>
      </c>
    </row>
    <row r="8" spans="2:4">
      <c r="B8" s="35" t="s">
        <v>27</v>
      </c>
      <c r="C8" s="35" t="s">
        <v>49</v>
      </c>
      <c r="D8" s="35" t="s">
        <v>50</v>
      </c>
    </row>
    <row r="9" spans="2:4">
      <c r="B9" s="35" t="s">
        <v>29</v>
      </c>
      <c r="C9" s="35" t="s">
        <v>49</v>
      </c>
      <c r="D9" s="35" t="s">
        <v>51</v>
      </c>
    </row>
    <row r="10" spans="2:4">
      <c r="B10" s="35" t="s">
        <v>30</v>
      </c>
      <c r="C10" s="35" t="s">
        <v>52</v>
      </c>
      <c r="D10" s="35" t="s">
        <v>53</v>
      </c>
    </row>
    <row r="11" spans="2:4">
      <c r="B11" s="35" t="s">
        <v>31</v>
      </c>
      <c r="C11" s="35" t="s">
        <v>52</v>
      </c>
      <c r="D11" s="35" t="s">
        <v>54</v>
      </c>
    </row>
    <row r="12" spans="2:4">
      <c r="B12" s="35" t="s">
        <v>32</v>
      </c>
      <c r="C12" s="35" t="s">
        <v>52</v>
      </c>
      <c r="D12" s="35" t="s">
        <v>55</v>
      </c>
    </row>
    <row r="13" spans="2:4">
      <c r="B13" s="35" t="s">
        <v>33</v>
      </c>
      <c r="C13" s="35" t="s">
        <v>56</v>
      </c>
      <c r="D13" s="35" t="s">
        <v>57</v>
      </c>
    </row>
    <row r="14" spans="2:4">
      <c r="B14" s="35" t="s">
        <v>35</v>
      </c>
      <c r="C14" s="35" t="s">
        <v>56</v>
      </c>
      <c r="D14" s="35" t="s">
        <v>57</v>
      </c>
    </row>
    <row r="15" spans="2:4">
      <c r="B15" s="35" t="s">
        <v>36</v>
      </c>
      <c r="C15" s="35" t="s">
        <v>58</v>
      </c>
      <c r="D15" s="35" t="s">
        <v>57</v>
      </c>
    </row>
    <row r="16" spans="2:4">
      <c r="B16" s="35" t="s">
        <v>37</v>
      </c>
      <c r="C16" s="35" t="s">
        <v>56</v>
      </c>
      <c r="D16" s="35" t="s">
        <v>57</v>
      </c>
    </row>
    <row r="17" spans="2:4">
      <c r="B17" s="35" t="s">
        <v>38</v>
      </c>
      <c r="C17" s="35" t="s">
        <v>56</v>
      </c>
      <c r="D17" s="35" t="s">
        <v>57</v>
      </c>
    </row>
    <row r="18" spans="2:4">
      <c r="B18" s="35" t="s">
        <v>39</v>
      </c>
      <c r="C18" s="35" t="s">
        <v>56</v>
      </c>
      <c r="D18" s="35" t="s">
        <v>59</v>
      </c>
    </row>
    <row r="19" spans="2:4">
      <c r="B19" s="35" t="s">
        <v>40</v>
      </c>
      <c r="C19" s="35" t="s">
        <v>56</v>
      </c>
      <c r="D19" s="35" t="s">
        <v>60</v>
      </c>
    </row>
    <row r="20" spans="2:4">
      <c r="B20" s="35" t="s">
        <v>41</v>
      </c>
      <c r="C20" s="35" t="s">
        <v>56</v>
      </c>
      <c r="D20" s="35" t="s">
        <v>57</v>
      </c>
    </row>
    <row r="21" spans="2:4">
      <c r="B21" s="35"/>
      <c r="C21" s="35"/>
      <c r="D21" s="35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1">
      <c r="A1" s="102"/>
    </row>
    <row r="2" spans="1:11">
      <c r="B2" s="1" t="s">
        <v>46</v>
      </c>
      <c r="C2" s="1"/>
      <c r="D2" s="1"/>
      <c r="E2" s="2" t="s">
        <v>47</v>
      </c>
      <c r="G2" s="96" t="s">
        <v>61</v>
      </c>
      <c r="H2" s="96" t="s">
        <v>62</v>
      </c>
      <c r="I2" s="96" t="s">
        <v>63</v>
      </c>
      <c r="J2" s="96" t="s">
        <v>64</v>
      </c>
      <c r="K2" t="s">
        <v>65</v>
      </c>
    </row>
    <row r="3" spans="1:11">
      <c r="B3" s="3" t="s">
        <v>27</v>
      </c>
      <c r="C3" s="3"/>
      <c r="D3" s="3"/>
      <c r="E3" s="4" t="s">
        <v>49</v>
      </c>
      <c r="G3" s="31" t="s">
        <v>66</v>
      </c>
      <c r="H3" s="31" t="s">
        <v>67</v>
      </c>
      <c r="I3" s="31" t="s">
        <v>68</v>
      </c>
      <c r="J3" s="31" t="s">
        <v>69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1:11">
      <c r="B4" s="1" t="s">
        <v>48</v>
      </c>
      <c r="C4" s="1"/>
      <c r="D4" s="1"/>
      <c r="E4" s="1"/>
      <c r="G4" s="31" t="s">
        <v>70</v>
      </c>
      <c r="H4" s="31" t="s">
        <v>67</v>
      </c>
      <c r="I4" s="31" t="s">
        <v>71</v>
      </c>
      <c r="J4" s="31" t="s">
        <v>72</v>
      </c>
      <c r="K4" t="str">
        <f t="shared" si="0"/>
        <v>('002', '1', '202606121100', 'グアダラハラ'),</v>
      </c>
    </row>
    <row r="5" spans="1:11">
      <c r="B5" s="3" t="s">
        <v>50</v>
      </c>
      <c r="C5" s="3"/>
      <c r="D5" s="3"/>
      <c r="E5" s="3"/>
      <c r="G5" s="31" t="s">
        <v>73</v>
      </c>
      <c r="H5" s="31" t="s">
        <v>67</v>
      </c>
      <c r="I5" s="31" t="s">
        <v>74</v>
      </c>
      <c r="J5" s="31" t="s">
        <v>75</v>
      </c>
      <c r="K5" t="str">
        <f t="shared" si="0"/>
        <v>('003', '1', '202606130400', 'トロント'),</v>
      </c>
    </row>
    <row r="6" spans="1:11">
      <c r="G6" s="31" t="s">
        <v>76</v>
      </c>
      <c r="H6" s="31" t="s">
        <v>67</v>
      </c>
      <c r="I6" s="31" t="s">
        <v>77</v>
      </c>
      <c r="J6" s="31" t="s">
        <v>78</v>
      </c>
      <c r="K6" t="str">
        <f t="shared" si="0"/>
        <v>('004', '1', '202606131000', 'ロサンゼルス'),</v>
      </c>
    </row>
    <row r="7" spans="1:11">
      <c r="B7" s="5" t="s">
        <v>79</v>
      </c>
      <c r="C7" s="5" t="s">
        <v>80</v>
      </c>
      <c r="D7" s="5" t="s">
        <v>81</v>
      </c>
      <c r="E7" s="5" t="s">
        <v>48</v>
      </c>
      <c r="G7" s="31" t="s">
        <v>82</v>
      </c>
      <c r="H7" s="31" t="s">
        <v>67</v>
      </c>
      <c r="I7" s="31" t="s">
        <v>83</v>
      </c>
      <c r="J7" s="31" t="s">
        <v>84</v>
      </c>
      <c r="K7" t="str">
        <f t="shared" si="0"/>
        <v>('005', '1', '202606140400', 'サンフランシスコ・ベイエリア'),</v>
      </c>
    </row>
    <row r="8" spans="1:11">
      <c r="B8" s="35" t="s">
        <v>61</v>
      </c>
      <c r="C8" s="4" t="s">
        <v>85</v>
      </c>
      <c r="D8" s="4" t="s">
        <v>86</v>
      </c>
      <c r="E8" s="35" t="s">
        <v>87</v>
      </c>
      <c r="G8" s="31" t="s">
        <v>88</v>
      </c>
      <c r="H8" s="31" t="s">
        <v>67</v>
      </c>
      <c r="I8" s="31" t="s">
        <v>89</v>
      </c>
      <c r="J8" s="31" t="s">
        <v>90</v>
      </c>
      <c r="K8" t="str">
        <f t="shared" si="0"/>
        <v>('006', '1', '202606140700', 'ニュー・ジャージー'),</v>
      </c>
    </row>
    <row r="9" spans="1:11">
      <c r="B9" s="35" t="s">
        <v>62</v>
      </c>
      <c r="C9" s="4"/>
      <c r="D9" s="4" t="s">
        <v>86</v>
      </c>
      <c r="E9" s="35" t="s">
        <v>91</v>
      </c>
      <c r="G9" s="31" t="s">
        <v>92</v>
      </c>
      <c r="H9" s="31" t="s">
        <v>67</v>
      </c>
      <c r="I9" s="31" t="s">
        <v>93</v>
      </c>
      <c r="J9" s="31" t="s">
        <v>94</v>
      </c>
      <c r="K9" t="str">
        <f t="shared" si="0"/>
        <v>('007', '1', '202606141000', 'ボストン'),</v>
      </c>
    </row>
    <row r="10" spans="1:11">
      <c r="B10" s="35" t="s">
        <v>63</v>
      </c>
      <c r="C10" s="4"/>
      <c r="D10" s="4" t="s">
        <v>86</v>
      </c>
      <c r="E10" s="35" t="s">
        <v>95</v>
      </c>
      <c r="G10" s="31" t="s">
        <v>96</v>
      </c>
      <c r="H10" s="31" t="s">
        <v>67</v>
      </c>
      <c r="I10" s="31" t="s">
        <v>97</v>
      </c>
      <c r="J10" s="31" t="s">
        <v>98</v>
      </c>
      <c r="K10" t="str">
        <f t="shared" si="0"/>
        <v>('008', '1', '202606141300', 'バンクーバー'),</v>
      </c>
    </row>
    <row r="11" spans="1:11">
      <c r="B11" s="35" t="s">
        <v>64</v>
      </c>
      <c r="C11" s="4"/>
      <c r="D11" s="4" t="s">
        <v>86</v>
      </c>
      <c r="E11" s="35" t="s">
        <v>99</v>
      </c>
      <c r="G11" s="31" t="s">
        <v>100</v>
      </c>
      <c r="H11" s="31" t="s">
        <v>67</v>
      </c>
      <c r="I11" s="31" t="s">
        <v>101</v>
      </c>
      <c r="J11" s="31" t="s">
        <v>102</v>
      </c>
      <c r="K11" t="str">
        <f t="shared" si="0"/>
        <v>('009', '1', '202606150200', 'ヒューストン'),</v>
      </c>
    </row>
    <row r="12" spans="1:11">
      <c r="B12" s="35"/>
      <c r="C12" s="4"/>
      <c r="D12" s="4"/>
      <c r="E12" s="35"/>
      <c r="G12" s="31" t="s">
        <v>103</v>
      </c>
      <c r="H12" s="31" t="s">
        <v>67</v>
      </c>
      <c r="I12" s="31" t="s">
        <v>104</v>
      </c>
      <c r="J12" s="31" t="s">
        <v>105</v>
      </c>
      <c r="K12" t="str">
        <f t="shared" si="0"/>
        <v>('010', '1', '202606150500', 'ダラス'),</v>
      </c>
    </row>
    <row r="13" spans="1:11">
      <c r="G13" s="31" t="s">
        <v>106</v>
      </c>
      <c r="H13" s="31" t="s">
        <v>67</v>
      </c>
      <c r="I13" s="31" t="s">
        <v>107</v>
      </c>
      <c r="J13" s="31" t="s">
        <v>108</v>
      </c>
      <c r="K13" t="str">
        <f t="shared" si="0"/>
        <v>('011', '1', '202606150800', 'フィラデルフィア'),</v>
      </c>
    </row>
    <row r="14" spans="1:11">
      <c r="G14" s="31" t="s">
        <v>109</v>
      </c>
      <c r="H14" s="31" t="s">
        <v>67</v>
      </c>
      <c r="I14" s="31" t="s">
        <v>110</v>
      </c>
      <c r="J14" s="31" t="s">
        <v>111</v>
      </c>
      <c r="K14" t="str">
        <f t="shared" si="0"/>
        <v>('012', '1', '202606151100', 'モンテレー'),</v>
      </c>
    </row>
    <row r="15" spans="1:11">
      <c r="G15" s="31" t="s">
        <v>112</v>
      </c>
      <c r="H15" s="31" t="s">
        <v>67</v>
      </c>
      <c r="I15" s="31" t="s">
        <v>113</v>
      </c>
      <c r="J15" s="31" t="s">
        <v>114</v>
      </c>
      <c r="K15" t="str">
        <f t="shared" si="0"/>
        <v>('013', '1', '202606160100', 'アトランタ'),</v>
      </c>
    </row>
    <row r="16" spans="1:11">
      <c r="G16" s="31" t="s">
        <v>115</v>
      </c>
      <c r="H16" s="31" t="s">
        <v>67</v>
      </c>
      <c r="I16" s="31" t="s">
        <v>116</v>
      </c>
      <c r="J16" s="31" t="s">
        <v>117</v>
      </c>
      <c r="K16" t="str">
        <f t="shared" si="0"/>
        <v>('014', '1', '202606160400', 'シアトル'),</v>
      </c>
    </row>
    <row r="17" spans="7:11">
      <c r="G17" s="31" t="s">
        <v>118</v>
      </c>
      <c r="H17" s="31" t="s">
        <v>67</v>
      </c>
      <c r="I17" s="31" t="s">
        <v>119</v>
      </c>
      <c r="J17" s="31" t="s">
        <v>120</v>
      </c>
      <c r="K17" t="str">
        <f t="shared" si="0"/>
        <v>('015', '1', '202606160700', 'マイアミ'),</v>
      </c>
    </row>
    <row r="18" spans="7:11">
      <c r="G18" s="31" t="s">
        <v>121</v>
      </c>
      <c r="H18" s="31" t="s">
        <v>67</v>
      </c>
      <c r="I18" s="31" t="s">
        <v>122</v>
      </c>
      <c r="J18" s="31" t="s">
        <v>78</v>
      </c>
      <c r="K18" t="str">
        <f t="shared" si="0"/>
        <v>('016', '1', '202606161000', 'ロサンゼルス'),</v>
      </c>
    </row>
    <row r="19" spans="7:11">
      <c r="G19" s="31" t="s">
        <v>123</v>
      </c>
      <c r="H19" s="31" t="s">
        <v>67</v>
      </c>
      <c r="I19" s="31" t="s">
        <v>124</v>
      </c>
      <c r="J19" s="31" t="s">
        <v>90</v>
      </c>
      <c r="K19" t="str">
        <f t="shared" si="0"/>
        <v>('017', '1', '202606170400', 'ニュー・ジャージー'),</v>
      </c>
    </row>
    <row r="20" spans="7:11">
      <c r="G20" s="31" t="s">
        <v>125</v>
      </c>
      <c r="H20" s="31" t="s">
        <v>67</v>
      </c>
      <c r="I20" s="31" t="s">
        <v>126</v>
      </c>
      <c r="J20" s="31" t="s">
        <v>94</v>
      </c>
      <c r="K20" t="str">
        <f t="shared" si="0"/>
        <v>('018', '1', '202606170700', 'ボストン'),</v>
      </c>
    </row>
    <row r="21" spans="7:11">
      <c r="G21" s="31" t="s">
        <v>127</v>
      </c>
      <c r="H21" s="31" t="s">
        <v>67</v>
      </c>
      <c r="I21" s="31" t="s">
        <v>128</v>
      </c>
      <c r="J21" s="31" t="s">
        <v>129</v>
      </c>
      <c r="K21" t="str">
        <f t="shared" si="0"/>
        <v>('019', '1', '202606171000', 'カンザス'),</v>
      </c>
    </row>
    <row r="22" spans="7:11">
      <c r="G22" s="31" t="s">
        <v>130</v>
      </c>
      <c r="H22" s="31" t="s">
        <v>67</v>
      </c>
      <c r="I22" s="31" t="s">
        <v>131</v>
      </c>
      <c r="J22" s="31" t="s">
        <v>84</v>
      </c>
      <c r="K22" t="str">
        <f t="shared" si="0"/>
        <v>('020', '1', '202606171300', 'サンフランシスコ・ベイエリア'),</v>
      </c>
    </row>
    <row r="23" spans="7:11">
      <c r="G23" s="31" t="s">
        <v>132</v>
      </c>
      <c r="H23" s="31" t="s">
        <v>67</v>
      </c>
      <c r="I23" s="31" t="s">
        <v>133</v>
      </c>
      <c r="J23" s="31" t="s">
        <v>102</v>
      </c>
      <c r="K23" t="str">
        <f t="shared" si="0"/>
        <v>('021', '1', '202606180200', 'ヒューストン'),</v>
      </c>
    </row>
    <row r="24" spans="7:11">
      <c r="G24" s="31" t="s">
        <v>134</v>
      </c>
      <c r="H24" s="31" t="s">
        <v>67</v>
      </c>
      <c r="I24" s="31" t="s">
        <v>135</v>
      </c>
      <c r="J24" s="31" t="s">
        <v>105</v>
      </c>
      <c r="K24" t="str">
        <f t="shared" si="0"/>
        <v>('022', '1', '202606180500', 'ダラス'),</v>
      </c>
    </row>
    <row r="25" spans="7:11">
      <c r="G25" s="31" t="s">
        <v>136</v>
      </c>
      <c r="H25" s="31" t="s">
        <v>67</v>
      </c>
      <c r="I25" s="31" t="s">
        <v>137</v>
      </c>
      <c r="J25" s="31" t="s">
        <v>75</v>
      </c>
      <c r="K25" t="str">
        <f t="shared" si="0"/>
        <v>('023', '1', '202606180800', 'トロント'),</v>
      </c>
    </row>
    <row r="26" spans="7:11">
      <c r="G26" s="31" t="s">
        <v>138</v>
      </c>
      <c r="H26" s="31" t="s">
        <v>67</v>
      </c>
      <c r="I26" s="31" t="s">
        <v>139</v>
      </c>
      <c r="J26" s="31" t="s">
        <v>69</v>
      </c>
      <c r="K26" t="str">
        <f t="shared" si="0"/>
        <v>('024', '1', '202606181100', 'メキシコシティ'),</v>
      </c>
    </row>
    <row r="27" spans="7:11">
      <c r="G27" s="31" t="s">
        <v>140</v>
      </c>
      <c r="H27" s="31" t="s">
        <v>67</v>
      </c>
      <c r="I27" s="31" t="s">
        <v>141</v>
      </c>
      <c r="J27" s="31" t="s">
        <v>114</v>
      </c>
      <c r="K27" t="str">
        <f t="shared" si="0"/>
        <v>('025', '1', '202606190100', 'アトランタ'),</v>
      </c>
    </row>
    <row r="28" spans="7:11">
      <c r="G28" s="31" t="s">
        <v>142</v>
      </c>
      <c r="H28" s="31" t="s">
        <v>67</v>
      </c>
      <c r="I28" s="31" t="s">
        <v>143</v>
      </c>
      <c r="J28" s="31" t="s">
        <v>78</v>
      </c>
      <c r="K28" t="str">
        <f t="shared" si="0"/>
        <v>('026', '1', '202606190400', 'ロサンゼルス'),</v>
      </c>
    </row>
    <row r="29" spans="7:11">
      <c r="G29" s="31" t="s">
        <v>144</v>
      </c>
      <c r="H29" s="31" t="s">
        <v>67</v>
      </c>
      <c r="I29" s="31" t="s">
        <v>145</v>
      </c>
      <c r="J29" s="31" t="s">
        <v>98</v>
      </c>
      <c r="K29" t="str">
        <f t="shared" si="0"/>
        <v>('027', '1', '202606190700', 'バンクーバー'),</v>
      </c>
    </row>
    <row r="30" spans="7:11">
      <c r="G30" s="31" t="s">
        <v>146</v>
      </c>
      <c r="H30" s="31" t="s">
        <v>67</v>
      </c>
      <c r="I30" s="31" t="s">
        <v>147</v>
      </c>
      <c r="J30" s="31" t="s">
        <v>72</v>
      </c>
      <c r="K30" t="str">
        <f t="shared" si="0"/>
        <v>('028', '1', '202606191000', 'グアダラハラ'),</v>
      </c>
    </row>
    <row r="31" spans="7:11">
      <c r="G31" s="31" t="s">
        <v>148</v>
      </c>
      <c r="H31" s="31" t="s">
        <v>67</v>
      </c>
      <c r="I31" s="31" t="s">
        <v>149</v>
      </c>
      <c r="J31" s="31" t="s">
        <v>117</v>
      </c>
      <c r="K31" t="str">
        <f t="shared" si="0"/>
        <v>('029', '1', '202606200400', 'シアトル'),</v>
      </c>
    </row>
    <row r="32" spans="7:11">
      <c r="G32" s="31" t="s">
        <v>150</v>
      </c>
      <c r="H32" s="31" t="s">
        <v>67</v>
      </c>
      <c r="I32" s="31" t="s">
        <v>151</v>
      </c>
      <c r="J32" s="31" t="s">
        <v>94</v>
      </c>
      <c r="K32" t="str">
        <f t="shared" si="0"/>
        <v>('030', '1', '202606200700', 'ボストン'),</v>
      </c>
    </row>
    <row r="33" spans="7:11">
      <c r="G33" s="31" t="s">
        <v>152</v>
      </c>
      <c r="H33" s="31" t="s">
        <v>67</v>
      </c>
      <c r="I33" s="31" t="s">
        <v>153</v>
      </c>
      <c r="J33" s="31" t="s">
        <v>108</v>
      </c>
      <c r="K33" t="str">
        <f t="shared" si="0"/>
        <v>('031', '1', '202606200930', 'フィラデルフィア'),</v>
      </c>
    </row>
    <row r="34" spans="7:11">
      <c r="G34" s="31" t="s">
        <v>154</v>
      </c>
      <c r="H34" s="31" t="s">
        <v>67</v>
      </c>
      <c r="I34" s="31" t="s">
        <v>155</v>
      </c>
      <c r="J34" s="31" t="s">
        <v>84</v>
      </c>
      <c r="K34" t="str">
        <f t="shared" si="0"/>
        <v>('032', '1', '202606201200', 'サンフランシスコ・ベイエリア'),</v>
      </c>
    </row>
    <row r="35" spans="7:11">
      <c r="G35" s="31" t="s">
        <v>156</v>
      </c>
      <c r="H35" s="31" t="s">
        <v>67</v>
      </c>
      <c r="I35" s="31" t="s">
        <v>157</v>
      </c>
      <c r="J35" s="31" t="s">
        <v>102</v>
      </c>
      <c r="K35" t="str">
        <f t="shared" si="0"/>
        <v>('033', '1', '202606210200', 'ヒューストン'),</v>
      </c>
    </row>
    <row r="36" spans="7:11">
      <c r="G36" s="31" t="s">
        <v>158</v>
      </c>
      <c r="H36" s="31" t="s">
        <v>67</v>
      </c>
      <c r="I36" s="31" t="s">
        <v>159</v>
      </c>
      <c r="J36" s="31" t="s">
        <v>75</v>
      </c>
      <c r="K36" t="str">
        <f t="shared" si="0"/>
        <v>('034', '1', '202606210500', 'トロント'),</v>
      </c>
    </row>
    <row r="37" spans="7:11">
      <c r="G37" s="31" t="s">
        <v>160</v>
      </c>
      <c r="H37" s="31" t="s">
        <v>67</v>
      </c>
      <c r="I37" s="31" t="s">
        <v>161</v>
      </c>
      <c r="J37" s="31" t="s">
        <v>129</v>
      </c>
      <c r="K37" t="str">
        <f t="shared" si="0"/>
        <v>('035', '1', '202606210900', 'カンザス'),</v>
      </c>
    </row>
    <row r="38" spans="7:11">
      <c r="G38" s="31" t="s">
        <v>162</v>
      </c>
      <c r="H38" s="31" t="s">
        <v>67</v>
      </c>
      <c r="I38" s="31" t="s">
        <v>163</v>
      </c>
      <c r="J38" s="31" t="s">
        <v>111</v>
      </c>
      <c r="K38" t="str">
        <f t="shared" si="0"/>
        <v>('036', '1', '202606211300', 'モンテレー'),</v>
      </c>
    </row>
    <row r="39" spans="7:11">
      <c r="G39" s="31" t="s">
        <v>164</v>
      </c>
      <c r="H39" s="31" t="s">
        <v>67</v>
      </c>
      <c r="I39" s="31" t="s">
        <v>165</v>
      </c>
      <c r="J39" s="31" t="s">
        <v>114</v>
      </c>
      <c r="K39" t="str">
        <f t="shared" si="0"/>
        <v>('037', '1', '202606220100', 'アトランタ'),</v>
      </c>
    </row>
    <row r="40" spans="7:11">
      <c r="G40" s="31" t="s">
        <v>166</v>
      </c>
      <c r="H40" s="31" t="s">
        <v>67</v>
      </c>
      <c r="I40" s="31" t="s">
        <v>167</v>
      </c>
      <c r="J40" s="31" t="s">
        <v>78</v>
      </c>
      <c r="K40" t="str">
        <f t="shared" si="0"/>
        <v>('038', '1', '202606220400', 'ロサンゼルス'),</v>
      </c>
    </row>
    <row r="41" spans="7:11">
      <c r="G41" s="31" t="s">
        <v>168</v>
      </c>
      <c r="H41" s="31" t="s">
        <v>67</v>
      </c>
      <c r="I41" s="31" t="s">
        <v>169</v>
      </c>
      <c r="J41" s="31" t="s">
        <v>120</v>
      </c>
      <c r="K41" t="str">
        <f t="shared" si="0"/>
        <v>('039', '1', '202606220700', 'マイアミ'),</v>
      </c>
    </row>
    <row r="42" spans="7:11">
      <c r="G42" s="31" t="s">
        <v>170</v>
      </c>
      <c r="H42" s="31" t="s">
        <v>67</v>
      </c>
      <c r="I42" s="31" t="s">
        <v>171</v>
      </c>
      <c r="J42" s="31" t="s">
        <v>98</v>
      </c>
      <c r="K42" t="str">
        <f t="shared" si="0"/>
        <v>('040', '1', '202606221000', 'バンクーバー'),</v>
      </c>
    </row>
    <row r="43" spans="7:11">
      <c r="G43" s="31" t="s">
        <v>172</v>
      </c>
      <c r="H43" s="31" t="s">
        <v>67</v>
      </c>
      <c r="I43" s="31" t="s">
        <v>173</v>
      </c>
      <c r="J43" s="31" t="s">
        <v>105</v>
      </c>
      <c r="K43" t="str">
        <f t="shared" si="0"/>
        <v>('041', '1', '202606230200', 'ダラス'),</v>
      </c>
    </row>
    <row r="44" spans="7:11">
      <c r="G44" s="31" t="s">
        <v>174</v>
      </c>
      <c r="H44" s="31" t="s">
        <v>67</v>
      </c>
      <c r="I44" s="31" t="s">
        <v>175</v>
      </c>
      <c r="J44" s="31" t="s">
        <v>108</v>
      </c>
      <c r="K44" t="str">
        <f t="shared" si="0"/>
        <v>('042', '1', '202606230600', 'フィラデルフィア'),</v>
      </c>
    </row>
    <row r="45" spans="7:11">
      <c r="G45" s="31" t="s">
        <v>176</v>
      </c>
      <c r="H45" s="31" t="s">
        <v>67</v>
      </c>
      <c r="I45" s="31" t="s">
        <v>177</v>
      </c>
      <c r="J45" s="31" t="s">
        <v>90</v>
      </c>
      <c r="K45" t="str">
        <f t="shared" si="0"/>
        <v>('043', '1', '202606230900', 'ニュー・ジャージー'),</v>
      </c>
    </row>
    <row r="46" spans="7:11">
      <c r="G46" s="31" t="s">
        <v>178</v>
      </c>
      <c r="H46" s="31" t="s">
        <v>67</v>
      </c>
      <c r="I46" s="31" t="s">
        <v>179</v>
      </c>
      <c r="J46" s="31" t="s">
        <v>84</v>
      </c>
      <c r="K46" t="str">
        <f t="shared" si="0"/>
        <v>('044', '1', '202606231200', 'サンフランシスコ・ベイエリア'),</v>
      </c>
    </row>
    <row r="47" spans="7:11">
      <c r="G47" s="31" t="s">
        <v>180</v>
      </c>
      <c r="H47" s="31" t="s">
        <v>67</v>
      </c>
      <c r="I47" s="31" t="s">
        <v>181</v>
      </c>
      <c r="J47" s="31" t="s">
        <v>102</v>
      </c>
      <c r="K47" t="str">
        <f t="shared" si="0"/>
        <v>('045', '1', '202606240200', 'ヒューストン'),</v>
      </c>
    </row>
    <row r="48" spans="7:11">
      <c r="G48" s="31" t="s">
        <v>182</v>
      </c>
      <c r="H48" s="31" t="s">
        <v>67</v>
      </c>
      <c r="I48" s="31" t="s">
        <v>183</v>
      </c>
      <c r="J48" s="31" t="s">
        <v>94</v>
      </c>
      <c r="K48" t="str">
        <f t="shared" si="0"/>
        <v>('046', '1', '202606240500', 'ボストン'),</v>
      </c>
    </row>
    <row r="49" spans="7:11">
      <c r="G49" s="31" t="s">
        <v>184</v>
      </c>
      <c r="H49" s="31" t="s">
        <v>67</v>
      </c>
      <c r="I49" s="31" t="s">
        <v>185</v>
      </c>
      <c r="J49" s="31" t="s">
        <v>75</v>
      </c>
      <c r="K49" t="str">
        <f t="shared" si="0"/>
        <v>('047', '1', '202606240800', 'トロント'),</v>
      </c>
    </row>
    <row r="50" spans="7:11">
      <c r="G50" s="31" t="s">
        <v>186</v>
      </c>
      <c r="H50" s="31" t="s">
        <v>67</v>
      </c>
      <c r="I50" s="31" t="s">
        <v>187</v>
      </c>
      <c r="J50" s="31" t="s">
        <v>72</v>
      </c>
      <c r="K50" t="str">
        <f t="shared" si="0"/>
        <v>('048', '1', '202606241100', 'グアダラハラ'),</v>
      </c>
    </row>
    <row r="51" spans="7:11">
      <c r="G51" s="31" t="s">
        <v>188</v>
      </c>
      <c r="H51" s="31" t="s">
        <v>67</v>
      </c>
      <c r="I51" s="31" t="s">
        <v>189</v>
      </c>
      <c r="J51" s="31" t="s">
        <v>98</v>
      </c>
      <c r="K51" t="str">
        <f t="shared" si="0"/>
        <v>('049', '1', '202606250400', 'バンクーバー'),</v>
      </c>
    </row>
    <row r="52" spans="7:11">
      <c r="G52" s="31" t="s">
        <v>190</v>
      </c>
      <c r="H52" s="31" t="s">
        <v>67</v>
      </c>
      <c r="I52" s="31" t="s">
        <v>189</v>
      </c>
      <c r="J52" s="31" t="s">
        <v>117</v>
      </c>
      <c r="K52" t="str">
        <f t="shared" si="0"/>
        <v>('050', '1', '202606250400', 'シアトル'),</v>
      </c>
    </row>
    <row r="53" spans="7:11">
      <c r="G53" s="31" t="s">
        <v>191</v>
      </c>
      <c r="H53" s="31" t="s">
        <v>67</v>
      </c>
      <c r="I53" s="31" t="s">
        <v>192</v>
      </c>
      <c r="J53" s="31" t="s">
        <v>120</v>
      </c>
      <c r="K53" t="str">
        <f t="shared" si="0"/>
        <v>('051', '1', '202606250700', 'マイアミ'),</v>
      </c>
    </row>
    <row r="54" spans="7:11">
      <c r="G54" s="31" t="s">
        <v>193</v>
      </c>
      <c r="H54" s="31" t="s">
        <v>67</v>
      </c>
      <c r="I54" s="31" t="s">
        <v>192</v>
      </c>
      <c r="J54" s="31" t="s">
        <v>114</v>
      </c>
      <c r="K54" t="str">
        <f t="shared" si="0"/>
        <v>('052', '1', '202606250700', 'アトランタ'),</v>
      </c>
    </row>
    <row r="55" spans="7:11">
      <c r="G55" s="31" t="s">
        <v>194</v>
      </c>
      <c r="H55" s="31" t="s">
        <v>67</v>
      </c>
      <c r="I55" s="31" t="s">
        <v>195</v>
      </c>
      <c r="J55" s="31" t="s">
        <v>69</v>
      </c>
      <c r="K55" t="str">
        <f t="shared" si="0"/>
        <v>('053', '1', '202606251000', 'メキシコシティ'),</v>
      </c>
    </row>
    <row r="56" spans="7:11">
      <c r="G56" s="31" t="s">
        <v>196</v>
      </c>
      <c r="H56" s="31" t="s">
        <v>67</v>
      </c>
      <c r="I56" s="31" t="s">
        <v>195</v>
      </c>
      <c r="J56" s="31" t="s">
        <v>111</v>
      </c>
      <c r="K56" t="str">
        <f t="shared" si="0"/>
        <v>('054', '1', '202606251000', 'モンテレー'),</v>
      </c>
    </row>
    <row r="57" spans="7:11">
      <c r="G57" s="31" t="s">
        <v>197</v>
      </c>
      <c r="H57" s="31" t="s">
        <v>67</v>
      </c>
      <c r="I57" s="31" t="s">
        <v>198</v>
      </c>
      <c r="J57" s="31" t="s">
        <v>108</v>
      </c>
      <c r="K57" t="str">
        <f t="shared" si="0"/>
        <v>('055', '1', '202606260500', 'フィラデルフィア'),</v>
      </c>
    </row>
    <row r="58" spans="7:11">
      <c r="G58" s="31" t="s">
        <v>199</v>
      </c>
      <c r="H58" s="31" t="s">
        <v>67</v>
      </c>
      <c r="I58" s="31" t="s">
        <v>198</v>
      </c>
      <c r="J58" s="31" t="s">
        <v>90</v>
      </c>
      <c r="K58" t="str">
        <f t="shared" si="0"/>
        <v>('056', '1', '202606260500', 'ニュー・ジャージー'),</v>
      </c>
    </row>
    <row r="59" spans="7:11">
      <c r="G59" s="31" t="s">
        <v>200</v>
      </c>
      <c r="H59" s="31" t="s">
        <v>67</v>
      </c>
      <c r="I59" s="31" t="s">
        <v>201</v>
      </c>
      <c r="J59" s="31" t="s">
        <v>105</v>
      </c>
      <c r="K59" t="str">
        <f t="shared" si="0"/>
        <v>('057', '1', '202606260800', 'ダラス'),</v>
      </c>
    </row>
    <row r="60" spans="7:11">
      <c r="G60" s="31" t="s">
        <v>202</v>
      </c>
      <c r="H60" s="31" t="s">
        <v>67</v>
      </c>
      <c r="I60" s="31" t="s">
        <v>201</v>
      </c>
      <c r="J60" s="31" t="s">
        <v>129</v>
      </c>
      <c r="K60" t="str">
        <f t="shared" si="0"/>
        <v>('058', '1', '202606260800', 'カンザス'),</v>
      </c>
    </row>
    <row r="61" spans="7:11">
      <c r="G61" s="31" t="s">
        <v>203</v>
      </c>
      <c r="H61" s="31" t="s">
        <v>67</v>
      </c>
      <c r="I61" s="31" t="s">
        <v>204</v>
      </c>
      <c r="J61" s="31" t="s">
        <v>78</v>
      </c>
      <c r="K61" t="str">
        <f t="shared" si="0"/>
        <v>('059', '1', '202606261100', 'ロサンゼルス'),</v>
      </c>
    </row>
    <row r="62" spans="7:11">
      <c r="G62" s="31" t="s">
        <v>205</v>
      </c>
      <c r="H62" s="31" t="s">
        <v>67</v>
      </c>
      <c r="I62" s="31" t="s">
        <v>204</v>
      </c>
      <c r="J62" s="31" t="s">
        <v>84</v>
      </c>
      <c r="K62" t="str">
        <f t="shared" si="0"/>
        <v>('060', '1', '202606261100', 'サンフランシスコ・ベイエリア'),</v>
      </c>
    </row>
    <row r="63" spans="7:11">
      <c r="G63" s="31" t="s">
        <v>206</v>
      </c>
      <c r="H63" s="31" t="s">
        <v>67</v>
      </c>
      <c r="I63" s="31" t="s">
        <v>207</v>
      </c>
      <c r="J63" s="31" t="s">
        <v>94</v>
      </c>
      <c r="K63" t="str">
        <f t="shared" si="0"/>
        <v>('061', '1', '202606270400', 'ボストン'),</v>
      </c>
    </row>
    <row r="64" spans="7:11">
      <c r="G64" s="31" t="s">
        <v>208</v>
      </c>
      <c r="H64" s="31" t="s">
        <v>67</v>
      </c>
      <c r="I64" s="31" t="s">
        <v>207</v>
      </c>
      <c r="J64" s="31" t="s">
        <v>75</v>
      </c>
      <c r="K64" t="str">
        <f t="shared" si="0"/>
        <v>('062', '1', '202606270400', 'トロント'),</v>
      </c>
    </row>
    <row r="65" spans="7:11">
      <c r="G65" s="31" t="s">
        <v>209</v>
      </c>
      <c r="H65" s="31" t="s">
        <v>67</v>
      </c>
      <c r="I65" s="31" t="s">
        <v>210</v>
      </c>
      <c r="J65" s="31" t="s">
        <v>102</v>
      </c>
      <c r="K65" t="str">
        <f t="shared" si="0"/>
        <v>('063', '1', '202606270900', 'ヒューストン'),</v>
      </c>
    </row>
    <row r="66" spans="7:11">
      <c r="G66" s="31" t="s">
        <v>211</v>
      </c>
      <c r="H66" s="31" t="s">
        <v>67</v>
      </c>
      <c r="I66" s="31" t="s">
        <v>210</v>
      </c>
      <c r="J66" s="31" t="s">
        <v>72</v>
      </c>
      <c r="K66" t="str">
        <f t="shared" si="0"/>
        <v>('064', '1', '202606270900', 'グアダラハラ'),</v>
      </c>
    </row>
    <row r="67" spans="7:11">
      <c r="G67" s="31" t="s">
        <v>212</v>
      </c>
      <c r="H67" s="31" t="s">
        <v>67</v>
      </c>
      <c r="I67" s="31" t="s">
        <v>213</v>
      </c>
      <c r="J67" s="31" t="s">
        <v>117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>
      <c r="G68" s="31" t="s">
        <v>214</v>
      </c>
      <c r="H68" s="31" t="s">
        <v>67</v>
      </c>
      <c r="I68" s="31" t="s">
        <v>213</v>
      </c>
      <c r="J68" s="31" t="s">
        <v>98</v>
      </c>
      <c r="K68" t="str">
        <f t="shared" si="1"/>
        <v>('066', '1', '202606271200', 'バンクーバー'),</v>
      </c>
    </row>
    <row r="69" spans="7:11">
      <c r="G69" s="31" t="s">
        <v>215</v>
      </c>
      <c r="H69" s="31" t="s">
        <v>67</v>
      </c>
      <c r="I69" s="31" t="s">
        <v>216</v>
      </c>
      <c r="J69" s="31" t="s">
        <v>90</v>
      </c>
      <c r="K69" t="str">
        <f t="shared" si="1"/>
        <v>('067', '1', '202606280600', 'ニュー・ジャージー'),</v>
      </c>
    </row>
    <row r="70" spans="7:11">
      <c r="G70" s="31" t="s">
        <v>217</v>
      </c>
      <c r="H70" s="31" t="s">
        <v>67</v>
      </c>
      <c r="I70" s="31" t="s">
        <v>216</v>
      </c>
      <c r="J70" s="31" t="s">
        <v>108</v>
      </c>
      <c r="K70" t="str">
        <f t="shared" si="1"/>
        <v>('068', '1', '202606280600', 'フィラデルフィア'),</v>
      </c>
    </row>
    <row r="71" spans="7:11">
      <c r="G71" s="31" t="s">
        <v>218</v>
      </c>
      <c r="H71" s="31" t="s">
        <v>67</v>
      </c>
      <c r="I71" s="31" t="s">
        <v>219</v>
      </c>
      <c r="J71" s="31" t="s">
        <v>120</v>
      </c>
      <c r="K71" t="str">
        <f t="shared" si="1"/>
        <v>('069', '1', '202606280830', 'マイアミ'),</v>
      </c>
    </row>
    <row r="72" spans="7:11">
      <c r="G72" s="31" t="s">
        <v>220</v>
      </c>
      <c r="H72" s="31" t="s">
        <v>67</v>
      </c>
      <c r="I72" s="31" t="s">
        <v>219</v>
      </c>
      <c r="J72" s="31" t="s">
        <v>114</v>
      </c>
      <c r="K72" t="str">
        <f t="shared" si="1"/>
        <v>('070', '1', '202606280830', 'アトランタ'),</v>
      </c>
    </row>
    <row r="73" spans="7:11">
      <c r="G73" s="31" t="s">
        <v>221</v>
      </c>
      <c r="H73" s="31" t="s">
        <v>67</v>
      </c>
      <c r="I73" s="31" t="s">
        <v>222</v>
      </c>
      <c r="J73" s="31" t="s">
        <v>129</v>
      </c>
      <c r="K73" t="str">
        <f t="shared" si="1"/>
        <v>('071', '1', '202606281100', 'カンザス'),</v>
      </c>
    </row>
    <row r="74" spans="7:11">
      <c r="G74" s="31" t="s">
        <v>223</v>
      </c>
      <c r="H74" s="31" t="s">
        <v>67</v>
      </c>
      <c r="I74" s="31" t="s">
        <v>222</v>
      </c>
      <c r="J74" s="31" t="s">
        <v>105</v>
      </c>
      <c r="K74" t="str">
        <f t="shared" si="1"/>
        <v>('072', '1', '202606281100', 'ダラス'),</v>
      </c>
    </row>
    <row r="75" spans="7:11">
      <c r="G75" s="31" t="s">
        <v>224</v>
      </c>
      <c r="H75" s="31" t="s">
        <v>225</v>
      </c>
      <c r="I75" s="31" t="s">
        <v>226</v>
      </c>
      <c r="J75" s="31" t="s">
        <v>78</v>
      </c>
      <c r="K75" t="str">
        <f t="shared" si="1"/>
        <v>('073', '2', '202606290400', 'ロサンゼルス'),</v>
      </c>
    </row>
    <row r="76" spans="7:11">
      <c r="G76" s="31" t="s">
        <v>227</v>
      </c>
      <c r="H76" s="31" t="s">
        <v>225</v>
      </c>
      <c r="I76" s="31" t="s">
        <v>228</v>
      </c>
      <c r="J76" s="31" t="s">
        <v>102</v>
      </c>
      <c r="K76" t="str">
        <f t="shared" si="1"/>
        <v>('074', '2', '202606300200', 'ヒューストン'),</v>
      </c>
    </row>
    <row r="77" spans="7:11">
      <c r="G77" s="31" t="s">
        <v>229</v>
      </c>
      <c r="H77" s="31" t="s">
        <v>225</v>
      </c>
      <c r="I77" s="31" t="s">
        <v>230</v>
      </c>
      <c r="J77" s="31" t="s">
        <v>94</v>
      </c>
      <c r="K77" t="str">
        <f t="shared" si="1"/>
        <v>('075', '2', '202606300530', 'ボストン'),</v>
      </c>
    </row>
    <row r="78" spans="7:11">
      <c r="G78" s="31" t="s">
        <v>231</v>
      </c>
      <c r="H78" s="31" t="s">
        <v>225</v>
      </c>
      <c r="I78" s="31" t="s">
        <v>232</v>
      </c>
      <c r="J78" s="31" t="s">
        <v>111</v>
      </c>
      <c r="K78" t="str">
        <f t="shared" si="1"/>
        <v>('076', '2', '202606301000', 'モンテレー'),</v>
      </c>
    </row>
    <row r="79" spans="7:11">
      <c r="G79" s="31" t="s">
        <v>233</v>
      </c>
      <c r="H79" s="31" t="s">
        <v>225</v>
      </c>
      <c r="I79" s="31" t="s">
        <v>234</v>
      </c>
      <c r="J79" s="31" t="s">
        <v>105</v>
      </c>
      <c r="K79" t="str">
        <f t="shared" si="1"/>
        <v>('077', '2', '202607010200', 'ダラス'),</v>
      </c>
    </row>
    <row r="80" spans="7:11">
      <c r="G80" s="31" t="s">
        <v>235</v>
      </c>
      <c r="H80" s="31" t="s">
        <v>225</v>
      </c>
      <c r="I80" s="31" t="s">
        <v>236</v>
      </c>
      <c r="J80" s="31" t="s">
        <v>90</v>
      </c>
      <c r="K80" t="str">
        <f t="shared" si="1"/>
        <v>('078', '2', '202607010600', 'ニュー・ジャージー'),</v>
      </c>
    </row>
    <row r="81" spans="7:11">
      <c r="G81" s="31" t="s">
        <v>237</v>
      </c>
      <c r="H81" s="31" t="s">
        <v>225</v>
      </c>
      <c r="I81" s="31" t="s">
        <v>238</v>
      </c>
      <c r="J81" s="31" t="s">
        <v>69</v>
      </c>
      <c r="K81" t="str">
        <f t="shared" si="1"/>
        <v>('079', '2', '202607011100', 'メキシコシティ'),</v>
      </c>
    </row>
    <row r="82" spans="7:11">
      <c r="G82" s="31" t="s">
        <v>239</v>
      </c>
      <c r="H82" s="31" t="s">
        <v>225</v>
      </c>
      <c r="I82" s="31" t="s">
        <v>240</v>
      </c>
      <c r="J82" s="31" t="s">
        <v>114</v>
      </c>
      <c r="K82" t="str">
        <f t="shared" si="1"/>
        <v>('080', '2', '202607020100', 'アトランタ'),</v>
      </c>
    </row>
    <row r="83" spans="7:11">
      <c r="G83" s="31" t="s">
        <v>241</v>
      </c>
      <c r="H83" s="31" t="s">
        <v>225</v>
      </c>
      <c r="I83" s="31" t="s">
        <v>242</v>
      </c>
      <c r="J83" s="31" t="s">
        <v>117</v>
      </c>
      <c r="K83" t="str">
        <f t="shared" si="1"/>
        <v>('081', '2', '202607020500', 'シアトル'),</v>
      </c>
    </row>
    <row r="84" spans="7:11">
      <c r="G84" s="31" t="s">
        <v>243</v>
      </c>
      <c r="H84" s="31" t="s">
        <v>225</v>
      </c>
      <c r="I84" s="31" t="s">
        <v>244</v>
      </c>
      <c r="J84" s="31" t="s">
        <v>84</v>
      </c>
      <c r="K84" t="str">
        <f t="shared" si="1"/>
        <v>('082', '2', '202607020900', 'サンフランシスコ・ベイエリア'),</v>
      </c>
    </row>
    <row r="85" spans="7:11">
      <c r="G85" s="31" t="s">
        <v>245</v>
      </c>
      <c r="H85" s="31" t="s">
        <v>225</v>
      </c>
      <c r="I85" s="31" t="s">
        <v>246</v>
      </c>
      <c r="J85" s="31" t="s">
        <v>78</v>
      </c>
      <c r="K85" t="str">
        <f t="shared" si="1"/>
        <v>('083', '2', '202607030400', 'ロサンゼルス'),</v>
      </c>
    </row>
    <row r="86" spans="7:11">
      <c r="G86" s="31" t="s">
        <v>247</v>
      </c>
      <c r="H86" s="31" t="s">
        <v>225</v>
      </c>
      <c r="I86" s="31" t="s">
        <v>248</v>
      </c>
      <c r="J86" s="31" t="s">
        <v>75</v>
      </c>
      <c r="K86" t="str">
        <f t="shared" si="1"/>
        <v>('084', '2', '202607030800', 'トロント'),</v>
      </c>
    </row>
    <row r="87" spans="7:11">
      <c r="G87" s="31" t="s">
        <v>249</v>
      </c>
      <c r="H87" s="31" t="s">
        <v>225</v>
      </c>
      <c r="I87" s="31" t="s">
        <v>250</v>
      </c>
      <c r="J87" s="31" t="s">
        <v>98</v>
      </c>
      <c r="K87" t="str">
        <f t="shared" si="1"/>
        <v>('085', '2', '202607031200', 'バンクーバー'),</v>
      </c>
    </row>
    <row r="88" spans="7:11">
      <c r="G88" s="31" t="s">
        <v>251</v>
      </c>
      <c r="H88" s="31" t="s">
        <v>225</v>
      </c>
      <c r="I88" s="31" t="s">
        <v>252</v>
      </c>
      <c r="J88" s="31" t="s">
        <v>105</v>
      </c>
      <c r="K88" t="str">
        <f t="shared" si="1"/>
        <v>('086', '2', '202607040300', 'ダラス'),</v>
      </c>
    </row>
    <row r="89" spans="7:11">
      <c r="G89" s="31" t="s">
        <v>253</v>
      </c>
      <c r="H89" s="31" t="s">
        <v>225</v>
      </c>
      <c r="I89" s="31" t="s">
        <v>254</v>
      </c>
      <c r="J89" s="31" t="s">
        <v>120</v>
      </c>
      <c r="K89" t="str">
        <f t="shared" si="1"/>
        <v>('087', '2', '202607040700', 'マイアミ'),</v>
      </c>
    </row>
    <row r="90" spans="7:11">
      <c r="G90" s="31" t="s">
        <v>255</v>
      </c>
      <c r="H90" s="31" t="s">
        <v>225</v>
      </c>
      <c r="I90" s="31" t="s">
        <v>256</v>
      </c>
      <c r="J90" s="31" t="s">
        <v>129</v>
      </c>
      <c r="K90" t="str">
        <f t="shared" si="1"/>
        <v>('088', '2', '202607041030', 'カンザス'),</v>
      </c>
    </row>
    <row r="91" spans="7:11">
      <c r="G91" s="31" t="s">
        <v>257</v>
      </c>
      <c r="H91" s="31" t="s">
        <v>225</v>
      </c>
      <c r="I91" s="31" t="s">
        <v>258</v>
      </c>
      <c r="J91" s="31" t="s">
        <v>102</v>
      </c>
      <c r="K91" t="str">
        <f t="shared" si="1"/>
        <v>('089', '2', '202607050200', 'ヒューストン'),</v>
      </c>
    </row>
    <row r="92" spans="7:11">
      <c r="G92" s="31" t="s">
        <v>259</v>
      </c>
      <c r="H92" s="31" t="s">
        <v>225</v>
      </c>
      <c r="I92" s="31" t="s">
        <v>260</v>
      </c>
      <c r="J92" s="31" t="s">
        <v>108</v>
      </c>
      <c r="K92" t="str">
        <f t="shared" si="1"/>
        <v>('090', '2', '202607050600', 'フィラデルフィア'),</v>
      </c>
    </row>
    <row r="93" spans="7:11">
      <c r="G93" s="31" t="s">
        <v>261</v>
      </c>
      <c r="H93" s="31" t="s">
        <v>225</v>
      </c>
      <c r="I93" s="31" t="s">
        <v>262</v>
      </c>
      <c r="J93" s="31" t="s">
        <v>90</v>
      </c>
      <c r="K93" t="str">
        <f t="shared" si="1"/>
        <v>('091', '2', '202607060500', 'ニュー・ジャージー'),</v>
      </c>
    </row>
    <row r="94" spans="7:11">
      <c r="G94" s="31" t="s">
        <v>263</v>
      </c>
      <c r="H94" s="31" t="s">
        <v>225</v>
      </c>
      <c r="I94" s="31" t="s">
        <v>264</v>
      </c>
      <c r="J94" s="31" t="s">
        <v>69</v>
      </c>
      <c r="K94" t="str">
        <f t="shared" si="1"/>
        <v>('092', '2', '202607061000', 'メキシコシティ'),</v>
      </c>
    </row>
    <row r="95" spans="7:11">
      <c r="G95" s="31" t="s">
        <v>265</v>
      </c>
      <c r="H95" s="31" t="s">
        <v>225</v>
      </c>
      <c r="I95" s="31" t="s">
        <v>266</v>
      </c>
      <c r="J95" s="31" t="s">
        <v>105</v>
      </c>
      <c r="K95" t="str">
        <f t="shared" si="1"/>
        <v>('093', '2', '202607070400', 'ダラス'),</v>
      </c>
    </row>
    <row r="96" spans="7:11">
      <c r="G96" s="31" t="s">
        <v>267</v>
      </c>
      <c r="H96" s="31" t="s">
        <v>225</v>
      </c>
      <c r="I96" s="31" t="s">
        <v>268</v>
      </c>
      <c r="J96" s="31" t="s">
        <v>117</v>
      </c>
      <c r="K96" t="str">
        <f t="shared" si="1"/>
        <v>('094', '2', '202607070900', 'シアトル'),</v>
      </c>
    </row>
    <row r="97" spans="7:11">
      <c r="G97" s="31" t="s">
        <v>269</v>
      </c>
      <c r="H97" s="31" t="s">
        <v>225</v>
      </c>
      <c r="I97" s="31" t="s">
        <v>270</v>
      </c>
      <c r="J97" s="31" t="s">
        <v>114</v>
      </c>
      <c r="K97" t="str">
        <f t="shared" si="1"/>
        <v>('095', '2', '202607080100', 'アトランタ'),</v>
      </c>
    </row>
    <row r="98" spans="7:11">
      <c r="G98" s="31" t="s">
        <v>271</v>
      </c>
      <c r="H98" s="31" t="s">
        <v>225</v>
      </c>
      <c r="I98" s="31" t="s">
        <v>272</v>
      </c>
      <c r="J98" s="31" t="s">
        <v>98</v>
      </c>
      <c r="K98" t="str">
        <f t="shared" si="1"/>
        <v>('096', '2', '202607080500', 'バンクーバー'),</v>
      </c>
    </row>
    <row r="99" spans="7:11">
      <c r="G99" s="31" t="s">
        <v>273</v>
      </c>
      <c r="H99" s="31" t="s">
        <v>225</v>
      </c>
      <c r="I99" s="31" t="s">
        <v>274</v>
      </c>
      <c r="J99" s="31" t="s">
        <v>94</v>
      </c>
      <c r="K99" t="str">
        <f t="shared" si="1"/>
        <v>('097', '2', '202607100500', 'ボストン'),</v>
      </c>
    </row>
    <row r="100" spans="7:11">
      <c r="G100" s="31" t="s">
        <v>275</v>
      </c>
      <c r="H100" s="31" t="s">
        <v>225</v>
      </c>
      <c r="I100" s="31" t="s">
        <v>276</v>
      </c>
      <c r="J100" s="31" t="s">
        <v>78</v>
      </c>
      <c r="K100" t="str">
        <f t="shared" si="1"/>
        <v>('098', '2', '202607110400', 'ロサンゼルス'),</v>
      </c>
    </row>
    <row r="101" spans="7:11">
      <c r="G101" s="31" t="s">
        <v>277</v>
      </c>
      <c r="H101" s="31" t="s">
        <v>225</v>
      </c>
      <c r="I101" s="31" t="s">
        <v>278</v>
      </c>
      <c r="J101" s="31" t="s">
        <v>120</v>
      </c>
      <c r="K101" t="str">
        <f t="shared" si="1"/>
        <v>('099', '2', '202607120600', 'マイアミ'),</v>
      </c>
    </row>
    <row r="102" spans="7:11">
      <c r="G102" s="31" t="s">
        <v>279</v>
      </c>
      <c r="H102" s="31" t="s">
        <v>225</v>
      </c>
      <c r="I102" s="31" t="s">
        <v>280</v>
      </c>
      <c r="J102" s="31" t="s">
        <v>129</v>
      </c>
      <c r="K102" t="str">
        <f t="shared" si="1"/>
        <v>('100', '2', '202607121000', 'カンザス'),</v>
      </c>
    </row>
    <row r="103" spans="7:11">
      <c r="G103" s="31" t="s">
        <v>281</v>
      </c>
      <c r="H103" s="31" t="s">
        <v>225</v>
      </c>
      <c r="I103" s="31" t="s">
        <v>282</v>
      </c>
      <c r="J103" s="31" t="s">
        <v>105</v>
      </c>
      <c r="K103" t="str">
        <f t="shared" si="1"/>
        <v>('101', '2', '202607150400', 'ダラス'),</v>
      </c>
    </row>
    <row r="104" spans="7:11">
      <c r="G104" s="31" t="s">
        <v>283</v>
      </c>
      <c r="H104" s="31" t="s">
        <v>225</v>
      </c>
      <c r="I104" s="31" t="s">
        <v>284</v>
      </c>
      <c r="J104" s="31" t="s">
        <v>114</v>
      </c>
      <c r="K104" t="str">
        <f t="shared" si="1"/>
        <v>('102', '2', '202607160400', 'アトランタ'),</v>
      </c>
    </row>
    <row r="105" spans="7:11">
      <c r="G105" s="31" t="s">
        <v>285</v>
      </c>
      <c r="H105" s="31" t="s">
        <v>225</v>
      </c>
      <c r="I105" s="31" t="s">
        <v>286</v>
      </c>
      <c r="J105" s="31" t="s">
        <v>120</v>
      </c>
      <c r="K105" t="str">
        <f t="shared" si="1"/>
        <v>('103', '2', '202607190600', 'マイアミ'),</v>
      </c>
    </row>
    <row r="106" spans="7:11">
      <c r="G106" s="31" t="s">
        <v>287</v>
      </c>
      <c r="H106" s="31" t="s">
        <v>225</v>
      </c>
      <c r="I106" s="31" t="s">
        <v>288</v>
      </c>
      <c r="J106" s="31" t="s">
        <v>90</v>
      </c>
      <c r="K106" t="str">
        <f>CHAR(9)&amp;"('"&amp;G106&amp;"', '"&amp;H106&amp;"', '"&amp;I106&amp;"', '"&amp;J106&amp;"')"</f>
        <v>('104', '2', '202607200400', 'ニュー・ジャージー')</v>
      </c>
    </row>
    <row r="107" spans="7:11">
      <c r="K107" t="s">
        <v>289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T211"/>
  <sheetViews>
    <sheetView tabSelected="1"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6382" width="3.77777777777778" customWidth="1"/>
  </cols>
  <sheetData>
    <row r="2" spans="2:20">
      <c r="B2" s="1" t="s">
        <v>46</v>
      </c>
      <c r="C2" s="1"/>
      <c r="D2" s="1"/>
      <c r="E2" s="2" t="s">
        <v>47</v>
      </c>
      <c r="G2" s="96" t="s">
        <v>61</v>
      </c>
      <c r="H2" s="96" t="s">
        <v>290</v>
      </c>
      <c r="I2" s="96" t="s">
        <v>291</v>
      </c>
      <c r="J2" s="96" t="s">
        <v>292</v>
      </c>
      <c r="K2" s="96" t="s">
        <v>293</v>
      </c>
      <c r="L2" t="s">
        <v>294</v>
      </c>
      <c r="M2" t="s">
        <v>295</v>
      </c>
    </row>
    <row r="3" spans="2:20">
      <c r="B3" s="3" t="s">
        <v>29</v>
      </c>
      <c r="C3" s="3"/>
      <c r="D3" s="3"/>
      <c r="E3" s="4" t="s">
        <v>49</v>
      </c>
      <c r="G3" s="10" t="s">
        <v>66</v>
      </c>
      <c r="H3" s="10" t="s">
        <v>296</v>
      </c>
      <c r="I3" s="99">
        <v>2</v>
      </c>
      <c r="J3" s="99" t="s">
        <v>297</v>
      </c>
      <c r="K3" s="99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298</v>
      </c>
      <c r="S3" t="s">
        <v>299</v>
      </c>
    </row>
    <row r="4" spans="2:20">
      <c r="B4" s="1" t="s">
        <v>48</v>
      </c>
      <c r="C4" s="1"/>
      <c r="D4" s="1"/>
      <c r="E4" s="1"/>
      <c r="G4" s="10" t="s">
        <v>66</v>
      </c>
      <c r="H4" s="10" t="s">
        <v>300</v>
      </c>
      <c r="I4" s="99">
        <v>0</v>
      </c>
      <c r="J4" s="99" t="s">
        <v>297</v>
      </c>
      <c r="K4" s="99">
        <v>-10</v>
      </c>
      <c r="L4" t="str">
        <f t="shared" si="0"/>
        <v>('001', 'RSA', 0, NULL, -10),</v>
      </c>
      <c r="M4" t="s">
        <v>301</v>
      </c>
      <c r="T4" t="s">
        <v>302</v>
      </c>
    </row>
    <row r="5" spans="2:20">
      <c r="B5" s="3" t="s">
        <v>51</v>
      </c>
      <c r="C5" s="3"/>
      <c r="D5" s="3"/>
      <c r="E5" s="3"/>
      <c r="G5" s="10" t="s">
        <v>70</v>
      </c>
      <c r="H5" s="10" t="s">
        <v>303</v>
      </c>
      <c r="I5" s="99">
        <v>2</v>
      </c>
      <c r="J5" s="99" t="s">
        <v>297</v>
      </c>
      <c r="K5" s="99">
        <v>-1</v>
      </c>
      <c r="L5" t="str">
        <f t="shared" si="0"/>
        <v>('002', 'KOR', 2, NULL, -1),</v>
      </c>
      <c r="M5" t="s">
        <v>304</v>
      </c>
      <c r="T5" t="s">
        <v>305</v>
      </c>
    </row>
    <row r="6" spans="2:20">
      <c r="G6" s="10" t="s">
        <v>70</v>
      </c>
      <c r="H6" s="10" t="s">
        <v>306</v>
      </c>
      <c r="I6" s="99">
        <v>1</v>
      </c>
      <c r="J6" s="99" t="s">
        <v>297</v>
      </c>
      <c r="K6" s="99">
        <v>0</v>
      </c>
      <c r="L6" t="str">
        <f t="shared" si="0"/>
        <v>('002', 'CZE', 1, NULL, 0),</v>
      </c>
      <c r="M6" t="s">
        <v>307</v>
      </c>
      <c r="T6" t="s">
        <v>308</v>
      </c>
    </row>
    <row r="7" spans="2:20">
      <c r="B7" s="5" t="s">
        <v>79</v>
      </c>
      <c r="C7" s="5" t="s">
        <v>80</v>
      </c>
      <c r="D7" s="5" t="s">
        <v>81</v>
      </c>
      <c r="E7" s="5" t="s">
        <v>48</v>
      </c>
      <c r="G7" s="10" t="s">
        <v>73</v>
      </c>
      <c r="H7" s="10" t="s">
        <v>309</v>
      </c>
      <c r="I7" s="99">
        <v>1</v>
      </c>
      <c r="J7" s="99" t="s">
        <v>297</v>
      </c>
      <c r="K7" s="99">
        <v>-2</v>
      </c>
      <c r="L7" t="str">
        <f t="shared" si="0"/>
        <v>('003', 'CAN', 1, NULL, -2),</v>
      </c>
      <c r="M7" t="s">
        <v>310</v>
      </c>
      <c r="T7" t="s">
        <v>311</v>
      </c>
    </row>
    <row r="8" spans="2:20">
      <c r="B8" s="35" t="s">
        <v>61</v>
      </c>
      <c r="C8" s="4" t="s">
        <v>85</v>
      </c>
      <c r="D8" s="4" t="s">
        <v>86</v>
      </c>
      <c r="E8" s="35" t="s">
        <v>87</v>
      </c>
      <c r="G8" s="10" t="s">
        <v>73</v>
      </c>
      <c r="H8" s="10" t="s">
        <v>312</v>
      </c>
      <c r="I8" s="99">
        <v>1</v>
      </c>
      <c r="J8" s="99" t="s">
        <v>297</v>
      </c>
      <c r="K8" s="99">
        <v>-3</v>
      </c>
      <c r="L8" t="str">
        <f t="shared" si="0"/>
        <v>('003', 'BIH', 1, NULL, -3),</v>
      </c>
      <c r="M8" t="s">
        <v>313</v>
      </c>
      <c r="T8" t="s">
        <v>314</v>
      </c>
    </row>
    <row r="9" spans="2:20">
      <c r="B9" s="35" t="s">
        <v>290</v>
      </c>
      <c r="C9" s="4" t="s">
        <v>85</v>
      </c>
      <c r="D9" s="4" t="s">
        <v>86</v>
      </c>
      <c r="E9" s="35" t="s">
        <v>315</v>
      </c>
      <c r="G9" s="10" t="s">
        <v>76</v>
      </c>
      <c r="H9" s="10" t="s">
        <v>316</v>
      </c>
      <c r="I9" s="99">
        <v>4</v>
      </c>
      <c r="J9" s="99" t="s">
        <v>297</v>
      </c>
      <c r="K9" s="99">
        <v>-1</v>
      </c>
      <c r="L9" t="str">
        <f t="shared" si="0"/>
        <v>('004', 'USA', 4, NULL, -1),</v>
      </c>
      <c r="M9" t="s">
        <v>317</v>
      </c>
    </row>
    <row r="10" spans="2:20">
      <c r="B10" s="35" t="s">
        <v>291</v>
      </c>
      <c r="C10" s="4"/>
      <c r="D10" s="4" t="s">
        <v>318</v>
      </c>
      <c r="E10" s="35" t="s">
        <v>319</v>
      </c>
      <c r="G10" s="10" t="s">
        <v>76</v>
      </c>
      <c r="H10" s="10" t="s">
        <v>320</v>
      </c>
      <c r="I10" s="99">
        <v>1</v>
      </c>
      <c r="J10" s="99" t="s">
        <v>297</v>
      </c>
      <c r="K10" s="99">
        <v>-5</v>
      </c>
      <c r="L10" t="str">
        <f t="shared" si="0"/>
        <v>('004', 'PAR', 1, NULL, -5),</v>
      </c>
      <c r="M10" t="s">
        <v>321</v>
      </c>
    </row>
    <row r="11" spans="2:20">
      <c r="B11" s="35" t="s">
        <v>292</v>
      </c>
      <c r="C11" s="4"/>
      <c r="D11" s="4" t="s">
        <v>318</v>
      </c>
      <c r="E11" s="35" t="s">
        <v>322</v>
      </c>
      <c r="G11" s="10" t="s">
        <v>82</v>
      </c>
      <c r="H11" s="10" t="s">
        <v>323</v>
      </c>
      <c r="I11" s="99">
        <v>1</v>
      </c>
      <c r="J11" s="99" t="s">
        <v>297</v>
      </c>
      <c r="K11" s="99">
        <v>-2</v>
      </c>
      <c r="L11" t="str">
        <f t="shared" si="0"/>
        <v>('005', 'QAT', 1, NULL, -2),</v>
      </c>
      <c r="M11" t="s">
        <v>324</v>
      </c>
    </row>
    <row r="12" spans="2:20">
      <c r="B12" s="35" t="s">
        <v>293</v>
      </c>
      <c r="C12" s="4"/>
      <c r="D12" s="4" t="s">
        <v>318</v>
      </c>
      <c r="E12" s="35" t="s">
        <v>325</v>
      </c>
      <c r="G12" s="10" t="s">
        <v>82</v>
      </c>
      <c r="H12" s="10" t="s">
        <v>326</v>
      </c>
      <c r="I12" s="99">
        <v>1</v>
      </c>
      <c r="J12" s="99" t="s">
        <v>297</v>
      </c>
      <c r="K12" s="99">
        <v>-1</v>
      </c>
      <c r="L12" t="str">
        <f t="shared" si="0"/>
        <v>('005', 'SUI', 1, NULL, -1),</v>
      </c>
      <c r="M12" t="s">
        <v>327</v>
      </c>
    </row>
    <row r="13" spans="2:20">
      <c r="G13" s="10" t="s">
        <v>88</v>
      </c>
      <c r="H13" s="10" t="s">
        <v>328</v>
      </c>
      <c r="I13" s="99">
        <v>1</v>
      </c>
      <c r="J13" s="99" t="s">
        <v>297</v>
      </c>
      <c r="K13" s="99">
        <v>-2</v>
      </c>
      <c r="L13" t="str">
        <f t="shared" si="0"/>
        <v>('006', 'BRA', 1, NULL, -2),</v>
      </c>
      <c r="M13" t="s">
        <v>329</v>
      </c>
    </row>
    <row r="14" spans="2:20">
      <c r="G14" s="10" t="s">
        <v>88</v>
      </c>
      <c r="H14" s="10" t="s">
        <v>330</v>
      </c>
      <c r="I14" s="99">
        <v>1</v>
      </c>
      <c r="J14" s="99" t="s">
        <v>297</v>
      </c>
      <c r="K14" s="99">
        <v>0</v>
      </c>
      <c r="L14" t="str">
        <f t="shared" si="0"/>
        <v>('006', 'MAR', 1, NULL, 0),</v>
      </c>
      <c r="M14" t="s">
        <v>331</v>
      </c>
    </row>
    <row r="15" spans="2:20">
      <c r="G15" s="10" t="s">
        <v>92</v>
      </c>
      <c r="H15" s="10" t="s">
        <v>332</v>
      </c>
      <c r="I15" s="99">
        <v>0</v>
      </c>
      <c r="J15" s="99" t="s">
        <v>297</v>
      </c>
      <c r="K15" s="99">
        <v>-1</v>
      </c>
      <c r="L15" t="str">
        <f t="shared" si="0"/>
        <v>('007', 'HAI', 0, NULL, -1),</v>
      </c>
      <c r="M15" t="s">
        <v>333</v>
      </c>
    </row>
    <row r="16" spans="2:20">
      <c r="G16" s="10" t="s">
        <v>92</v>
      </c>
      <c r="H16" s="10" t="s">
        <v>334</v>
      </c>
      <c r="I16" s="99">
        <v>1</v>
      </c>
      <c r="J16" s="99" t="s">
        <v>297</v>
      </c>
      <c r="K16" s="99">
        <v>-3</v>
      </c>
      <c r="L16" t="str">
        <f t="shared" si="0"/>
        <v>('007', 'SCO', 1, NULL, -3),</v>
      </c>
      <c r="M16" t="s">
        <v>335</v>
      </c>
    </row>
    <row r="17" spans="7:13">
      <c r="G17" s="10" t="s">
        <v>96</v>
      </c>
      <c r="H17" s="10" t="s">
        <v>336</v>
      </c>
      <c r="I17" s="99">
        <v>2</v>
      </c>
      <c r="J17" s="99" t="s">
        <v>297</v>
      </c>
      <c r="K17" s="99">
        <v>0</v>
      </c>
      <c r="L17" t="str">
        <f t="shared" si="0"/>
        <v>('008', 'AUS', 2, NULL, 0),</v>
      </c>
      <c r="M17" t="s">
        <v>337</v>
      </c>
    </row>
    <row r="18" spans="7:13">
      <c r="G18" s="10" t="s">
        <v>96</v>
      </c>
      <c r="H18" s="10" t="s">
        <v>338</v>
      </c>
      <c r="I18" s="99">
        <v>0</v>
      </c>
      <c r="J18" s="99" t="s">
        <v>297</v>
      </c>
      <c r="K18" s="99">
        <v>-1</v>
      </c>
      <c r="L18" t="str">
        <f t="shared" si="0"/>
        <v>('008', 'TUR', 0, NULL, -1),</v>
      </c>
      <c r="M18" t="s">
        <v>339</v>
      </c>
    </row>
    <row r="19" spans="7:13">
      <c r="G19" s="10" t="s">
        <v>100</v>
      </c>
      <c r="H19" s="10" t="s">
        <v>340</v>
      </c>
      <c r="I19" s="99">
        <v>7</v>
      </c>
      <c r="J19" s="99" t="s">
        <v>297</v>
      </c>
      <c r="K19" s="99">
        <v>0</v>
      </c>
      <c r="L19" t="str">
        <f t="shared" si="0"/>
        <v>('009', 'GER', 7, NULL, 0),</v>
      </c>
      <c r="M19" t="s">
        <v>341</v>
      </c>
    </row>
    <row r="20" spans="7:13">
      <c r="G20" s="10" t="s">
        <v>100</v>
      </c>
      <c r="H20" s="10" t="s">
        <v>342</v>
      </c>
      <c r="I20" s="99">
        <v>1</v>
      </c>
      <c r="J20" s="99" t="s">
        <v>297</v>
      </c>
      <c r="K20" s="99">
        <v>0</v>
      </c>
      <c r="L20" t="str">
        <f t="shared" si="0"/>
        <v>('009', 'CUW', 1, NULL, 0),</v>
      </c>
      <c r="M20" t="s">
        <v>343</v>
      </c>
    </row>
    <row r="21" spans="7:13">
      <c r="G21" s="10" t="s">
        <v>103</v>
      </c>
      <c r="H21" s="10" t="s">
        <v>344</v>
      </c>
      <c r="I21" s="99">
        <v>2</v>
      </c>
      <c r="J21" s="99" t="s">
        <v>297</v>
      </c>
      <c r="K21" s="99">
        <v>-3</v>
      </c>
      <c r="L21" t="str">
        <f t="shared" si="0"/>
        <v>('010', 'NED', 2, NULL, -3),</v>
      </c>
      <c r="M21" t="s">
        <v>345</v>
      </c>
    </row>
    <row r="22" spans="7:13">
      <c r="G22" s="10" t="s">
        <v>103</v>
      </c>
      <c r="H22" s="10" t="s">
        <v>346</v>
      </c>
      <c r="I22" s="99">
        <v>2</v>
      </c>
      <c r="J22" s="99" t="s">
        <v>297</v>
      </c>
      <c r="K22" s="99">
        <v>0</v>
      </c>
      <c r="L22" t="str">
        <f t="shared" si="0"/>
        <v>('010', 'JPN', 2, NULL, 0),</v>
      </c>
      <c r="M22" t="s">
        <v>347</v>
      </c>
    </row>
    <row r="23" spans="7:13">
      <c r="G23" s="10" t="s">
        <v>106</v>
      </c>
      <c r="H23" s="10" t="s">
        <v>348</v>
      </c>
      <c r="I23" s="99">
        <v>1</v>
      </c>
      <c r="J23" s="99" t="s">
        <v>297</v>
      </c>
      <c r="K23" s="99">
        <v>-3</v>
      </c>
      <c r="L23" t="str">
        <f t="shared" si="0"/>
        <v>('011', 'CIV', 1, NULL, -3),</v>
      </c>
      <c r="M23" t="s">
        <v>349</v>
      </c>
    </row>
    <row r="24" spans="7:13">
      <c r="G24" s="10" t="s">
        <v>106</v>
      </c>
      <c r="H24" s="10" t="s">
        <v>350</v>
      </c>
      <c r="I24" s="99">
        <v>0</v>
      </c>
      <c r="J24" s="99" t="s">
        <v>297</v>
      </c>
      <c r="K24" s="99">
        <v>-1</v>
      </c>
      <c r="L24" t="str">
        <f t="shared" si="0"/>
        <v>('011', 'ECU', 0, NULL, -1),</v>
      </c>
      <c r="M24" t="s">
        <v>351</v>
      </c>
    </row>
    <row r="25" spans="7:13">
      <c r="G25" s="10" t="s">
        <v>109</v>
      </c>
      <c r="H25" s="10" t="s">
        <v>352</v>
      </c>
      <c r="I25" s="99">
        <v>5</v>
      </c>
      <c r="J25" s="99" t="s">
        <v>297</v>
      </c>
      <c r="K25" s="99">
        <v>0</v>
      </c>
      <c r="L25" t="str">
        <f t="shared" si="0"/>
        <v>('012', 'SWE', 5, NULL, 0),</v>
      </c>
      <c r="M25" t="s">
        <v>353</v>
      </c>
    </row>
    <row r="26" spans="7:13">
      <c r="G26" s="10" t="s">
        <v>109</v>
      </c>
      <c r="H26" s="10" t="s">
        <v>354</v>
      </c>
      <c r="I26" s="99">
        <v>1</v>
      </c>
      <c r="J26" s="99" t="s">
        <v>297</v>
      </c>
      <c r="K26" s="99">
        <v>-1</v>
      </c>
      <c r="L26" t="str">
        <f t="shared" si="0"/>
        <v>('012', 'TUN', 1, NULL, -1),</v>
      </c>
      <c r="M26" t="s">
        <v>355</v>
      </c>
    </row>
    <row r="27" spans="7:13">
      <c r="G27" s="10" t="s">
        <v>112</v>
      </c>
      <c r="H27" s="10" t="s">
        <v>356</v>
      </c>
      <c r="I27" s="99">
        <v>0</v>
      </c>
      <c r="J27" s="99" t="s">
        <v>297</v>
      </c>
      <c r="K27" s="99">
        <v>-1</v>
      </c>
      <c r="L27" t="str">
        <f t="shared" si="0"/>
        <v>('013', 'ESP', 0, NULL, -1),</v>
      </c>
      <c r="M27" t="s">
        <v>357</v>
      </c>
    </row>
    <row r="28" spans="7:13">
      <c r="G28" s="10" t="s">
        <v>112</v>
      </c>
      <c r="H28" s="10" t="s">
        <v>358</v>
      </c>
      <c r="I28" s="99">
        <v>0</v>
      </c>
      <c r="J28" s="99" t="s">
        <v>297</v>
      </c>
      <c r="K28" s="99">
        <v>-1</v>
      </c>
      <c r="L28" t="str">
        <f t="shared" si="0"/>
        <v>('013', 'CPV', 0, NULL, -1),</v>
      </c>
      <c r="M28" t="s">
        <v>359</v>
      </c>
    </row>
    <row r="29" spans="7:13">
      <c r="G29" s="10" t="s">
        <v>115</v>
      </c>
      <c r="H29" s="10" t="s">
        <v>360</v>
      </c>
      <c r="I29" s="99">
        <v>1</v>
      </c>
      <c r="J29" s="99" t="s">
        <v>297</v>
      </c>
      <c r="K29" s="99">
        <v>-2</v>
      </c>
      <c r="L29" t="str">
        <f t="shared" si="0"/>
        <v>('014', 'BEL', 1, NULL, -2),</v>
      </c>
      <c r="M29" t="s">
        <v>361</v>
      </c>
    </row>
    <row r="30" spans="7:13">
      <c r="G30" s="10" t="s">
        <v>115</v>
      </c>
      <c r="H30" s="10" t="s">
        <v>362</v>
      </c>
      <c r="I30" s="99">
        <v>1</v>
      </c>
      <c r="J30" s="99" t="s">
        <v>297</v>
      </c>
      <c r="K30" s="99">
        <v>-2</v>
      </c>
      <c r="L30" t="str">
        <f t="shared" si="0"/>
        <v>('014', 'EGY', 1, NULL, -2),</v>
      </c>
      <c r="M30" t="s">
        <v>363</v>
      </c>
    </row>
    <row r="31" spans="7:13">
      <c r="G31" s="10" t="s">
        <v>118</v>
      </c>
      <c r="H31" s="10" t="s">
        <v>364</v>
      </c>
      <c r="I31" s="99">
        <v>1</v>
      </c>
      <c r="J31" s="99" t="s">
        <v>297</v>
      </c>
      <c r="K31" s="99">
        <v>-1</v>
      </c>
      <c r="L31" t="str">
        <f t="shared" si="0"/>
        <v>('015', 'KSA', 1, NULL, -1),</v>
      </c>
      <c r="M31" t="s">
        <v>365</v>
      </c>
    </row>
    <row r="32" spans="7:13">
      <c r="G32" s="10" t="s">
        <v>118</v>
      </c>
      <c r="H32" s="10" t="s">
        <v>366</v>
      </c>
      <c r="I32" s="99">
        <v>1</v>
      </c>
      <c r="J32" s="99" t="s">
        <v>297</v>
      </c>
      <c r="K32" s="99">
        <v>0</v>
      </c>
      <c r="L32" t="str">
        <f t="shared" si="0"/>
        <v>('015', 'URU', 1, NULL, 0),</v>
      </c>
      <c r="M32" t="s">
        <v>367</v>
      </c>
    </row>
    <row r="33" spans="7:13">
      <c r="G33" s="10" t="s">
        <v>121</v>
      </c>
      <c r="H33" s="10" t="s">
        <v>368</v>
      </c>
      <c r="I33" s="99">
        <v>2</v>
      </c>
      <c r="J33" s="99" t="s">
        <v>297</v>
      </c>
      <c r="K33" s="99">
        <v>-1</v>
      </c>
      <c r="L33" t="str">
        <f t="shared" si="0"/>
        <v>('016', 'IRN', 2, NULL, -1),</v>
      </c>
      <c r="M33" t="s">
        <v>369</v>
      </c>
    </row>
    <row r="34" spans="7:13">
      <c r="G34" s="10" t="s">
        <v>121</v>
      </c>
      <c r="H34" s="10" t="s">
        <v>370</v>
      </c>
      <c r="I34" s="99">
        <v>2</v>
      </c>
      <c r="J34" s="99" t="s">
        <v>297</v>
      </c>
      <c r="K34" s="99">
        <v>0</v>
      </c>
      <c r="L34" t="str">
        <f t="shared" si="0"/>
        <v>('016', 'NZL', 2, NULL, 0),</v>
      </c>
      <c r="M34" t="s">
        <v>371</v>
      </c>
    </row>
    <row r="35" spans="7:13">
      <c r="G35" s="10" t="s">
        <v>123</v>
      </c>
      <c r="H35" s="10" t="s">
        <v>372</v>
      </c>
      <c r="I35" s="99">
        <v>3</v>
      </c>
      <c r="J35" s="99" t="s">
        <v>297</v>
      </c>
      <c r="K35" s="99">
        <v>0</v>
      </c>
      <c r="L35" t="str">
        <f t="shared" si="0"/>
        <v>('017', 'FRA', 3, NULL, 0),</v>
      </c>
      <c r="M35" t="s">
        <v>373</v>
      </c>
    </row>
    <row r="36" spans="7:13">
      <c r="G36" s="10" t="s">
        <v>123</v>
      </c>
      <c r="H36" s="10" t="s">
        <v>374</v>
      </c>
      <c r="I36" s="99">
        <v>1</v>
      </c>
      <c r="J36" s="99" t="s">
        <v>297</v>
      </c>
      <c r="K36" s="99">
        <v>0</v>
      </c>
      <c r="L36" t="str">
        <f t="shared" si="0"/>
        <v>('017', 'SEN', 1, NULL, 0),</v>
      </c>
      <c r="M36" t="s">
        <v>375</v>
      </c>
    </row>
    <row r="37" spans="7:13">
      <c r="G37" s="10" t="s">
        <v>125</v>
      </c>
      <c r="H37" s="10" t="s">
        <v>376</v>
      </c>
      <c r="I37" s="99">
        <v>1</v>
      </c>
      <c r="J37" s="99" t="s">
        <v>297</v>
      </c>
      <c r="K37" s="99">
        <v>-1</v>
      </c>
      <c r="L37" t="str">
        <f t="shared" si="0"/>
        <v>('018', 'IRQ', 1, NULL, -1),</v>
      </c>
      <c r="M37" t="s">
        <v>377</v>
      </c>
    </row>
    <row r="38" spans="7:13">
      <c r="G38" s="10" t="s">
        <v>125</v>
      </c>
      <c r="H38" s="10" t="s">
        <v>378</v>
      </c>
      <c r="I38" s="99">
        <v>4</v>
      </c>
      <c r="J38" s="99" t="s">
        <v>297</v>
      </c>
      <c r="K38" s="99">
        <v>0</v>
      </c>
      <c r="L38" t="str">
        <f t="shared" si="0"/>
        <v>('018', 'NOR', 4, NULL, 0),</v>
      </c>
      <c r="M38" t="s">
        <v>379</v>
      </c>
    </row>
    <row r="39" spans="7:13">
      <c r="G39" s="10" t="s">
        <v>127</v>
      </c>
      <c r="H39" s="10" t="s">
        <v>380</v>
      </c>
      <c r="I39" s="99">
        <v>3</v>
      </c>
      <c r="J39" s="99" t="s">
        <v>297</v>
      </c>
      <c r="K39" s="99">
        <v>0</v>
      </c>
      <c r="L39" t="str">
        <f t="shared" si="0"/>
        <v>('019', 'ARG', 3, NULL, 0),</v>
      </c>
      <c r="M39" t="s">
        <v>381</v>
      </c>
    </row>
    <row r="40" spans="7:13">
      <c r="G40" s="10" t="s">
        <v>127</v>
      </c>
      <c r="H40" s="10" t="s">
        <v>382</v>
      </c>
      <c r="I40" s="99">
        <v>0</v>
      </c>
      <c r="J40" s="99" t="s">
        <v>297</v>
      </c>
      <c r="K40" s="99">
        <v>0</v>
      </c>
      <c r="L40" t="str">
        <f t="shared" si="0"/>
        <v>('019', 'ALG', 0, NULL, 0),</v>
      </c>
      <c r="M40" t="s">
        <v>383</v>
      </c>
    </row>
    <row r="41" spans="7:13">
      <c r="G41" s="10" t="s">
        <v>130</v>
      </c>
      <c r="H41" s="10" t="s">
        <v>384</v>
      </c>
      <c r="I41" s="99">
        <v>3</v>
      </c>
      <c r="J41" s="99" t="s">
        <v>297</v>
      </c>
      <c r="K41" s="99">
        <v>-1</v>
      </c>
      <c r="L41" t="str">
        <f t="shared" si="0"/>
        <v>('020', 'AUT', 3, NULL, -1),</v>
      </c>
      <c r="M41" t="s">
        <v>385</v>
      </c>
    </row>
    <row r="42" spans="7:13">
      <c r="G42" s="10" t="s">
        <v>130</v>
      </c>
      <c r="H42" s="10" t="s">
        <v>386</v>
      </c>
      <c r="I42" s="99">
        <v>1</v>
      </c>
      <c r="J42" s="99" t="s">
        <v>297</v>
      </c>
      <c r="K42" s="99">
        <v>0</v>
      </c>
      <c r="L42" t="str">
        <f t="shared" si="0"/>
        <v>('020', 'JOR', 1, NULL, 0),</v>
      </c>
      <c r="M42" t="s">
        <v>387</v>
      </c>
    </row>
    <row r="43" spans="7:13">
      <c r="G43" s="10" t="s">
        <v>132</v>
      </c>
      <c r="H43" s="10" t="s">
        <v>388</v>
      </c>
      <c r="I43" s="99">
        <v>1</v>
      </c>
      <c r="J43" s="99" t="s">
        <v>297</v>
      </c>
      <c r="K43" s="99">
        <v>-3</v>
      </c>
      <c r="L43" t="str">
        <f t="shared" si="0"/>
        <v>('021', 'POR', 1, NULL, -3),</v>
      </c>
      <c r="M43" t="s">
        <v>389</v>
      </c>
    </row>
    <row r="44" spans="7:13">
      <c r="G44" s="10" t="s">
        <v>132</v>
      </c>
      <c r="H44" s="10" t="s">
        <v>390</v>
      </c>
      <c r="I44" s="99">
        <v>1</v>
      </c>
      <c r="J44" s="99" t="s">
        <v>297</v>
      </c>
      <c r="K44" s="99">
        <v>-1</v>
      </c>
      <c r="L44" t="str">
        <f t="shared" si="0"/>
        <v>('021', 'COD', 1, NULL, -1),</v>
      </c>
      <c r="M44" t="s">
        <v>391</v>
      </c>
    </row>
    <row r="45" spans="7:13">
      <c r="G45" s="10" t="s">
        <v>134</v>
      </c>
      <c r="H45" s="10" t="s">
        <v>392</v>
      </c>
      <c r="I45" s="99">
        <v>4</v>
      </c>
      <c r="J45" s="99" t="s">
        <v>297</v>
      </c>
      <c r="K45" s="99">
        <v>0</v>
      </c>
      <c r="L45" t="str">
        <f t="shared" si="0"/>
        <v>('022', 'ENG', 4, NULL, 0),</v>
      </c>
      <c r="M45" t="s">
        <v>393</v>
      </c>
    </row>
    <row r="46" spans="7:13">
      <c r="G46" s="10" t="s">
        <v>134</v>
      </c>
      <c r="H46" s="10" t="s">
        <v>394</v>
      </c>
      <c r="I46" s="99">
        <v>2</v>
      </c>
      <c r="J46" s="99" t="s">
        <v>297</v>
      </c>
      <c r="K46" s="99">
        <v>0</v>
      </c>
      <c r="L46" t="str">
        <f t="shared" si="0"/>
        <v>('022', 'CRO', 2, NULL, 0),</v>
      </c>
      <c r="M46" t="s">
        <v>395</v>
      </c>
    </row>
    <row r="47" spans="7:13">
      <c r="G47" s="10" t="s">
        <v>136</v>
      </c>
      <c r="H47" s="10" t="s">
        <v>396</v>
      </c>
      <c r="I47" s="99">
        <v>1</v>
      </c>
      <c r="J47" s="99" t="s">
        <v>297</v>
      </c>
      <c r="K47" s="99">
        <v>-1</v>
      </c>
      <c r="L47" t="str">
        <f t="shared" si="0"/>
        <v>('023', 'GHA', 1, NULL, -1),</v>
      </c>
      <c r="M47" t="s">
        <v>397</v>
      </c>
    </row>
    <row r="48" spans="7:13">
      <c r="G48" s="10" t="s">
        <v>136</v>
      </c>
      <c r="H48" s="10" t="s">
        <v>398</v>
      </c>
      <c r="I48" s="99">
        <v>0</v>
      </c>
      <c r="J48" s="99" t="s">
        <v>297</v>
      </c>
      <c r="K48" s="99">
        <v>-2</v>
      </c>
      <c r="L48" t="str">
        <f t="shared" si="0"/>
        <v>('023', 'PAN', 0, NULL, -2),</v>
      </c>
      <c r="M48" t="s">
        <v>399</v>
      </c>
    </row>
    <row r="49" spans="7:13">
      <c r="G49" s="10" t="s">
        <v>138</v>
      </c>
      <c r="H49" s="10" t="s">
        <v>400</v>
      </c>
      <c r="I49" s="99">
        <v>1</v>
      </c>
      <c r="J49" s="99" t="s">
        <v>297</v>
      </c>
      <c r="K49" s="99">
        <v>-1</v>
      </c>
      <c r="L49" t="str">
        <f t="shared" si="0"/>
        <v>('024', 'UZB', 1, NULL, -1),</v>
      </c>
      <c r="M49" t="s">
        <v>401</v>
      </c>
    </row>
    <row r="50" spans="7:13">
      <c r="G50" s="10" t="s">
        <v>138</v>
      </c>
      <c r="H50" s="10" t="s">
        <v>402</v>
      </c>
      <c r="I50" s="99">
        <v>3</v>
      </c>
      <c r="J50" s="99" t="s">
        <v>297</v>
      </c>
      <c r="K50" s="99">
        <v>-1</v>
      </c>
      <c r="L50" t="str">
        <f t="shared" si="0"/>
        <v>('024', 'COL', 3, NULL, -1),</v>
      </c>
      <c r="M50" t="s">
        <v>403</v>
      </c>
    </row>
    <row r="51" spans="7:13">
      <c r="G51" s="10" t="s">
        <v>140</v>
      </c>
      <c r="H51" s="10" t="s">
        <v>306</v>
      </c>
      <c r="I51" s="99">
        <v>1</v>
      </c>
      <c r="J51" s="99" t="s">
        <v>297</v>
      </c>
      <c r="K51" s="99">
        <v>-1</v>
      </c>
      <c r="L51" t="str">
        <f t="shared" si="0"/>
        <v>('025', 'CZE', 1, NULL, -1),</v>
      </c>
      <c r="M51" t="s">
        <v>307</v>
      </c>
    </row>
    <row r="52" spans="7:13">
      <c r="G52" s="10" t="s">
        <v>140</v>
      </c>
      <c r="H52" s="10" t="s">
        <v>300</v>
      </c>
      <c r="I52" s="99">
        <v>1</v>
      </c>
      <c r="J52" s="99" t="s">
        <v>297</v>
      </c>
      <c r="K52" s="99">
        <v>-2</v>
      </c>
      <c r="L52" t="str">
        <f t="shared" si="0"/>
        <v>('025', 'RSA', 1, NULL, -2),</v>
      </c>
      <c r="M52" t="s">
        <v>301</v>
      </c>
    </row>
    <row r="53" spans="7:13">
      <c r="G53" s="10" t="s">
        <v>142</v>
      </c>
      <c r="H53" s="10" t="s">
        <v>326</v>
      </c>
      <c r="I53" s="99">
        <v>4</v>
      </c>
      <c r="J53" s="99" t="s">
        <v>297</v>
      </c>
      <c r="K53" s="99">
        <v>-1</v>
      </c>
      <c r="L53" t="str">
        <f t="shared" si="0"/>
        <v>('026', 'SUI', 4, NULL, -1),</v>
      </c>
      <c r="M53" t="s">
        <v>327</v>
      </c>
    </row>
    <row r="54" spans="7:13">
      <c r="G54" s="10" t="s">
        <v>142</v>
      </c>
      <c r="H54" s="10" t="s">
        <v>312</v>
      </c>
      <c r="I54" s="99">
        <v>1</v>
      </c>
      <c r="J54" s="99" t="s">
        <v>297</v>
      </c>
      <c r="K54" s="99">
        <v>-6</v>
      </c>
      <c r="L54" t="str">
        <f t="shared" si="0"/>
        <v>('026', 'BIH', 1, NULL, -6),</v>
      </c>
      <c r="M54" t="s">
        <v>313</v>
      </c>
    </row>
    <row r="55" spans="7:13">
      <c r="G55" s="10" t="s">
        <v>144</v>
      </c>
      <c r="H55" s="10" t="s">
        <v>309</v>
      </c>
      <c r="I55" s="99">
        <v>6</v>
      </c>
      <c r="J55" s="99" t="s">
        <v>297</v>
      </c>
      <c r="K55" s="99">
        <v>-1</v>
      </c>
      <c r="L55" t="str">
        <f t="shared" si="0"/>
        <v>('027', 'CAN', 6, NULL, -1),</v>
      </c>
      <c r="M55" t="s">
        <v>310</v>
      </c>
    </row>
    <row r="56" spans="7:13">
      <c r="G56" s="10" t="s">
        <v>144</v>
      </c>
      <c r="H56" s="10" t="s">
        <v>323</v>
      </c>
      <c r="I56" s="99">
        <v>0</v>
      </c>
      <c r="J56" s="99" t="s">
        <v>297</v>
      </c>
      <c r="K56" s="99">
        <v>-9</v>
      </c>
      <c r="L56" t="str">
        <f t="shared" si="0"/>
        <v>('027', 'QAT', 0, NULL, -9),</v>
      </c>
      <c r="M56" t="s">
        <v>324</v>
      </c>
    </row>
    <row r="57" spans="7:13">
      <c r="G57" s="10" t="s">
        <v>146</v>
      </c>
      <c r="H57" s="10" t="s">
        <v>296</v>
      </c>
      <c r="I57" s="99">
        <v>1</v>
      </c>
      <c r="J57" s="99" t="s">
        <v>297</v>
      </c>
      <c r="K57" s="99">
        <v>0</v>
      </c>
      <c r="L57" t="str">
        <f t="shared" si="0"/>
        <v>('028', 'MEX', 1, NULL, 0),</v>
      </c>
      <c r="M57" t="s">
        <v>298</v>
      </c>
    </row>
    <row r="58" spans="7:13">
      <c r="G58" s="10" t="s">
        <v>146</v>
      </c>
      <c r="H58" s="10" t="s">
        <v>303</v>
      </c>
      <c r="I58" s="99">
        <v>0</v>
      </c>
      <c r="J58" s="99" t="s">
        <v>297</v>
      </c>
      <c r="K58" s="99">
        <v>-2</v>
      </c>
      <c r="L58" t="str">
        <f t="shared" si="0"/>
        <v>('028', 'KOR', 0, NULL, -2),</v>
      </c>
      <c r="M58" t="s">
        <v>304</v>
      </c>
    </row>
    <row r="59" spans="7:13">
      <c r="G59" s="10" t="s">
        <v>148</v>
      </c>
      <c r="H59" s="10" t="s">
        <v>316</v>
      </c>
      <c r="I59" s="99">
        <v>2</v>
      </c>
      <c r="J59" s="99" t="s">
        <v>297</v>
      </c>
      <c r="K59" s="99">
        <v>-3</v>
      </c>
      <c r="L59" t="str">
        <f t="shared" si="0"/>
        <v>('029', 'USA', 2, NULL, -3),</v>
      </c>
      <c r="M59" t="s">
        <v>317</v>
      </c>
    </row>
    <row r="60" spans="7:13">
      <c r="G60" s="10" t="s">
        <v>148</v>
      </c>
      <c r="H60" s="10" t="s">
        <v>336</v>
      </c>
      <c r="I60" s="99">
        <v>0</v>
      </c>
      <c r="J60" s="99" t="s">
        <v>297</v>
      </c>
      <c r="K60" s="99">
        <v>-4</v>
      </c>
      <c r="L60" t="str">
        <f t="shared" si="0"/>
        <v>('029', 'AUS', 0, NULL, -4),</v>
      </c>
      <c r="M60" t="s">
        <v>337</v>
      </c>
    </row>
    <row r="61" spans="7:13">
      <c r="G61" s="10" t="s">
        <v>150</v>
      </c>
      <c r="H61" s="10" t="s">
        <v>334</v>
      </c>
      <c r="I61" s="99">
        <v>0</v>
      </c>
      <c r="J61" s="99" t="s">
        <v>297</v>
      </c>
      <c r="K61" s="99">
        <v>-1</v>
      </c>
      <c r="L61" t="str">
        <f t="shared" si="0"/>
        <v>('030', 'SCO', 0, NULL, -1),</v>
      </c>
      <c r="M61" t="s">
        <v>335</v>
      </c>
    </row>
    <row r="62" spans="7:13">
      <c r="G62" s="10" t="s">
        <v>150</v>
      </c>
      <c r="H62" s="10" t="s">
        <v>330</v>
      </c>
      <c r="I62" s="99">
        <v>1</v>
      </c>
      <c r="J62" s="99" t="s">
        <v>297</v>
      </c>
      <c r="K62" s="99">
        <v>-1</v>
      </c>
      <c r="L62" t="str">
        <f t="shared" si="0"/>
        <v>('030', 'MAR', 1, NULL, -1),</v>
      </c>
      <c r="M62" t="s">
        <v>331</v>
      </c>
    </row>
    <row r="63" spans="7:13">
      <c r="G63" s="10" t="s">
        <v>152</v>
      </c>
      <c r="H63" s="10" t="s">
        <v>328</v>
      </c>
      <c r="I63" s="99">
        <v>3</v>
      </c>
      <c r="J63" s="99" t="s">
        <v>297</v>
      </c>
      <c r="K63" s="99">
        <v>-1</v>
      </c>
      <c r="L63" t="str">
        <f t="shared" si="0"/>
        <v>('031', 'BRA', 3, NULL, -1),</v>
      </c>
      <c r="M63" t="s">
        <v>329</v>
      </c>
    </row>
    <row r="64" spans="7:13">
      <c r="G64" s="10" t="s">
        <v>152</v>
      </c>
      <c r="H64" s="10" t="s">
        <v>332</v>
      </c>
      <c r="I64" s="99">
        <v>0</v>
      </c>
      <c r="J64" s="99" t="s">
        <v>297</v>
      </c>
      <c r="K64" s="99">
        <v>-3</v>
      </c>
      <c r="L64" t="str">
        <f t="shared" si="0"/>
        <v>('031', 'HAI', 0, NULL, -3),</v>
      </c>
      <c r="M64" t="s">
        <v>333</v>
      </c>
    </row>
    <row r="65" spans="7:13">
      <c r="G65" s="10" t="s">
        <v>154</v>
      </c>
      <c r="H65" s="10" t="s">
        <v>338</v>
      </c>
      <c r="I65" s="99">
        <v>0</v>
      </c>
      <c r="J65" s="99" t="s">
        <v>297</v>
      </c>
      <c r="K65" s="99">
        <v>-2</v>
      </c>
      <c r="L65" t="str">
        <f t="shared" si="0"/>
        <v>('032', 'TUR', 0, NULL, -2),</v>
      </c>
      <c r="M65" t="s">
        <v>339</v>
      </c>
    </row>
    <row r="66" spans="7:13">
      <c r="G66" s="10" t="s">
        <v>154</v>
      </c>
      <c r="H66" s="10" t="s">
        <v>320</v>
      </c>
      <c r="I66" s="99">
        <v>1</v>
      </c>
      <c r="J66" s="99" t="s">
        <v>297</v>
      </c>
      <c r="K66" s="99">
        <v>-6</v>
      </c>
      <c r="L66" t="str">
        <f t="shared" si="0"/>
        <v>('032', 'PAR', 1, NULL, -6),</v>
      </c>
      <c r="M66" t="s">
        <v>321</v>
      </c>
    </row>
    <row r="67" spans="7:13">
      <c r="G67" s="10" t="s">
        <v>156</v>
      </c>
      <c r="H67" s="10" t="s">
        <v>344</v>
      </c>
      <c r="I67" s="99">
        <v>5</v>
      </c>
      <c r="J67" s="99" t="s">
        <v>297</v>
      </c>
      <c r="K67" s="99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345</v>
      </c>
    </row>
    <row r="68" spans="7:13">
      <c r="G68" s="10" t="s">
        <v>156</v>
      </c>
      <c r="H68" s="10" t="s">
        <v>352</v>
      </c>
      <c r="I68" s="99">
        <v>1</v>
      </c>
      <c r="J68" s="99" t="s">
        <v>297</v>
      </c>
      <c r="K68" s="99">
        <v>-3</v>
      </c>
      <c r="L68" t="str">
        <f t="shared" si="1"/>
        <v>('033', 'SWE', 1, NULL, -3),</v>
      </c>
      <c r="M68" t="s">
        <v>353</v>
      </c>
    </row>
    <row r="69" spans="7:13">
      <c r="G69" s="10" t="s">
        <v>158</v>
      </c>
      <c r="H69" s="10" t="s">
        <v>340</v>
      </c>
      <c r="I69" s="99">
        <v>2</v>
      </c>
      <c r="J69" s="99" t="s">
        <v>297</v>
      </c>
      <c r="K69" s="99">
        <v>0</v>
      </c>
      <c r="L69" t="str">
        <f t="shared" si="1"/>
        <v>('034', 'GER', 2, NULL, 0),</v>
      </c>
      <c r="M69" t="s">
        <v>341</v>
      </c>
    </row>
    <row r="70" spans="7:13">
      <c r="G70" s="10" t="s">
        <v>158</v>
      </c>
      <c r="H70" s="10" t="s">
        <v>348</v>
      </c>
      <c r="I70" s="99">
        <v>1</v>
      </c>
      <c r="J70" s="99" t="s">
        <v>297</v>
      </c>
      <c r="K70" s="99">
        <v>0</v>
      </c>
      <c r="L70" t="str">
        <f t="shared" si="1"/>
        <v>('034', 'CIV', 1, NULL, 0),</v>
      </c>
      <c r="M70" t="s">
        <v>349</v>
      </c>
    </row>
    <row r="71" spans="7:13">
      <c r="G71" s="10" t="s">
        <v>160</v>
      </c>
      <c r="H71" s="10" t="s">
        <v>350</v>
      </c>
      <c r="I71" s="99">
        <v>0</v>
      </c>
      <c r="J71" s="99" t="s">
        <v>297</v>
      </c>
      <c r="K71" s="99">
        <v>-1</v>
      </c>
      <c r="L71" t="str">
        <f t="shared" si="1"/>
        <v>('035', 'ECU', 0, NULL, -1),</v>
      </c>
      <c r="M71" t="s">
        <v>351</v>
      </c>
    </row>
    <row r="72" spans="7:13">
      <c r="G72" s="10" t="s">
        <v>160</v>
      </c>
      <c r="H72" s="10" t="s">
        <v>342</v>
      </c>
      <c r="I72" s="99">
        <v>0</v>
      </c>
      <c r="J72" s="99" t="s">
        <v>297</v>
      </c>
      <c r="K72" s="99">
        <v>-5</v>
      </c>
      <c r="L72" t="str">
        <f t="shared" si="1"/>
        <v>('035', 'CUW', 0, NULL, -5),</v>
      </c>
      <c r="M72" t="s">
        <v>343</v>
      </c>
    </row>
    <row r="73" spans="7:13">
      <c r="G73" s="10" t="s">
        <v>162</v>
      </c>
      <c r="H73" s="10" t="s">
        <v>354</v>
      </c>
      <c r="I73" s="99">
        <v>0</v>
      </c>
      <c r="J73" s="99" t="s">
        <v>297</v>
      </c>
      <c r="K73" s="99">
        <v>0</v>
      </c>
      <c r="L73" t="str">
        <f t="shared" si="1"/>
        <v>('036', 'TUN', 0, NULL, 0),</v>
      </c>
      <c r="M73" t="s">
        <v>355</v>
      </c>
    </row>
    <row r="74" spans="7:13">
      <c r="G74" s="10" t="s">
        <v>162</v>
      </c>
      <c r="H74" s="10" t="s">
        <v>346</v>
      </c>
      <c r="I74" s="99">
        <v>4</v>
      </c>
      <c r="J74" s="99" t="s">
        <v>297</v>
      </c>
      <c r="K74" s="99">
        <v>0</v>
      </c>
      <c r="L74" t="str">
        <f t="shared" si="1"/>
        <v>('036', 'JPN', 4, NULL, 0),</v>
      </c>
      <c r="M74" t="s">
        <v>347</v>
      </c>
    </row>
    <row r="75" spans="7:13">
      <c r="G75" s="10" t="s">
        <v>164</v>
      </c>
      <c r="H75" s="10" t="s">
        <v>356</v>
      </c>
      <c r="I75" s="99">
        <v>4</v>
      </c>
      <c r="J75" s="99" t="s">
        <v>297</v>
      </c>
      <c r="K75" s="99">
        <v>0</v>
      </c>
      <c r="L75" t="str">
        <f t="shared" si="1"/>
        <v>('037', 'ESP', 4, NULL, 0),</v>
      </c>
      <c r="M75" t="s">
        <v>357</v>
      </c>
    </row>
    <row r="76" spans="7:13">
      <c r="G76" s="10" t="s">
        <v>164</v>
      </c>
      <c r="H76" s="10" t="s">
        <v>364</v>
      </c>
      <c r="I76" s="99">
        <v>0</v>
      </c>
      <c r="J76" s="99" t="s">
        <v>297</v>
      </c>
      <c r="K76" s="99">
        <v>-2</v>
      </c>
      <c r="L76" t="str">
        <f t="shared" si="1"/>
        <v>('037', 'KSA', 0, NULL, -2),</v>
      </c>
      <c r="M76" t="s">
        <v>365</v>
      </c>
    </row>
    <row r="77" spans="7:13">
      <c r="G77" s="10" t="s">
        <v>166</v>
      </c>
      <c r="H77" s="10" t="s">
        <v>360</v>
      </c>
      <c r="I77" s="99">
        <v>0</v>
      </c>
      <c r="J77" s="99" t="s">
        <v>297</v>
      </c>
      <c r="K77" s="99">
        <v>-5</v>
      </c>
      <c r="L77" t="str">
        <f t="shared" si="1"/>
        <v>('038', 'BEL', 0, NULL, -5),</v>
      </c>
      <c r="M77" t="s">
        <v>361</v>
      </c>
    </row>
    <row r="78" spans="7:13">
      <c r="G78" s="10" t="s">
        <v>166</v>
      </c>
      <c r="H78" s="10" t="s">
        <v>368</v>
      </c>
      <c r="I78" s="99">
        <v>0</v>
      </c>
      <c r="J78" s="99" t="s">
        <v>297</v>
      </c>
      <c r="K78" s="99">
        <v>-1</v>
      </c>
      <c r="L78" t="str">
        <f t="shared" si="1"/>
        <v>('038', 'IRN', 0, NULL, -1),</v>
      </c>
      <c r="M78" t="s">
        <v>369</v>
      </c>
    </row>
    <row r="79" spans="7:13">
      <c r="G79" s="10" t="s">
        <v>168</v>
      </c>
      <c r="H79" s="10" t="s">
        <v>366</v>
      </c>
      <c r="I79" s="99">
        <v>2</v>
      </c>
      <c r="J79" s="99" t="s">
        <v>297</v>
      </c>
      <c r="K79" s="99">
        <v>-2</v>
      </c>
      <c r="L79" t="str">
        <f t="shared" si="1"/>
        <v>('039', 'URU', 2, NULL, -2),</v>
      </c>
      <c r="M79" t="s">
        <v>367</v>
      </c>
    </row>
    <row r="80" spans="7:13">
      <c r="G80" s="10" t="s">
        <v>168</v>
      </c>
      <c r="H80" s="10" t="s">
        <v>358</v>
      </c>
      <c r="I80" s="99">
        <v>2</v>
      </c>
      <c r="J80" s="99" t="s">
        <v>297</v>
      </c>
      <c r="K80" s="99">
        <v>-2</v>
      </c>
      <c r="L80" t="str">
        <f t="shared" si="1"/>
        <v>('039', 'CPV', 2, NULL, -2),</v>
      </c>
      <c r="M80" t="s">
        <v>359</v>
      </c>
    </row>
    <row r="81" spans="7:13">
      <c r="G81" s="10" t="s">
        <v>170</v>
      </c>
      <c r="H81" s="10" t="s">
        <v>370</v>
      </c>
      <c r="I81" s="99">
        <v>1</v>
      </c>
      <c r="J81" s="99" t="s">
        <v>297</v>
      </c>
      <c r="K81" s="99">
        <v>-2</v>
      </c>
      <c r="L81" t="str">
        <f t="shared" si="1"/>
        <v>('040', 'NZL', 1, NULL, -2),</v>
      </c>
      <c r="M81" t="s">
        <v>371</v>
      </c>
    </row>
    <row r="82" spans="7:13">
      <c r="G82" s="10" t="s">
        <v>170</v>
      </c>
      <c r="H82" s="10" t="s">
        <v>362</v>
      </c>
      <c r="I82" s="99">
        <v>3</v>
      </c>
      <c r="J82" s="99" t="s">
        <v>297</v>
      </c>
      <c r="K82" s="99">
        <v>-1</v>
      </c>
      <c r="L82" t="str">
        <f t="shared" si="1"/>
        <v>('040', 'EGY', 3, NULL, -1),</v>
      </c>
      <c r="M82" t="s">
        <v>363</v>
      </c>
    </row>
    <row r="83" spans="7:13">
      <c r="G83" s="10" t="s">
        <v>172</v>
      </c>
      <c r="H83" s="10" t="s">
        <v>380</v>
      </c>
      <c r="I83" s="99">
        <v>2</v>
      </c>
      <c r="J83" s="99" t="s">
        <v>297</v>
      </c>
      <c r="K83" s="99">
        <v>-2</v>
      </c>
      <c r="L83" t="str">
        <f t="shared" si="1"/>
        <v>('041', 'ARG', 2, NULL, -2),</v>
      </c>
      <c r="M83" t="s">
        <v>381</v>
      </c>
    </row>
    <row r="84" spans="7:13">
      <c r="G84" s="10" t="s">
        <v>172</v>
      </c>
      <c r="H84" s="10" t="s">
        <v>384</v>
      </c>
      <c r="I84" s="99">
        <v>0</v>
      </c>
      <c r="J84" s="99" t="s">
        <v>297</v>
      </c>
      <c r="K84" s="99">
        <v>-2</v>
      </c>
      <c r="L84" t="str">
        <f t="shared" si="1"/>
        <v>('041', 'AUT', 0, NULL, -2),</v>
      </c>
      <c r="M84" t="s">
        <v>385</v>
      </c>
    </row>
    <row r="85" spans="7:13">
      <c r="G85" s="10" t="s">
        <v>174</v>
      </c>
      <c r="H85" s="10" t="s">
        <v>372</v>
      </c>
      <c r="I85" s="99">
        <v>3</v>
      </c>
      <c r="J85" s="99" t="s">
        <v>297</v>
      </c>
      <c r="K85" s="99">
        <v>0</v>
      </c>
      <c r="L85" t="str">
        <f t="shared" si="1"/>
        <v>('042', 'FRA', 3, NULL, 0),</v>
      </c>
      <c r="M85" t="s">
        <v>373</v>
      </c>
    </row>
    <row r="86" spans="7:13">
      <c r="G86" s="10" t="s">
        <v>174</v>
      </c>
      <c r="H86" s="10" t="s">
        <v>376</v>
      </c>
      <c r="I86" s="99">
        <v>0</v>
      </c>
      <c r="J86" s="99" t="s">
        <v>297</v>
      </c>
      <c r="K86" s="99">
        <v>-1</v>
      </c>
      <c r="L86" t="str">
        <f t="shared" si="1"/>
        <v>('042', 'IRQ', 0, NULL, -1),</v>
      </c>
      <c r="M86" t="s">
        <v>377</v>
      </c>
    </row>
    <row r="87" spans="7:13">
      <c r="G87" s="10" t="s">
        <v>176</v>
      </c>
      <c r="H87" s="10" t="s">
        <v>378</v>
      </c>
      <c r="I87" s="99">
        <v>3</v>
      </c>
      <c r="J87" s="99" t="s">
        <v>297</v>
      </c>
      <c r="K87" s="99">
        <v>0</v>
      </c>
      <c r="L87" t="str">
        <f t="shared" si="1"/>
        <v>('043', 'NOR', 3, NULL, 0),</v>
      </c>
      <c r="M87" t="s">
        <v>379</v>
      </c>
    </row>
    <row r="88" spans="7:13">
      <c r="G88" s="10" t="s">
        <v>176</v>
      </c>
      <c r="H88" s="10" t="s">
        <v>374</v>
      </c>
      <c r="I88" s="99">
        <v>2</v>
      </c>
      <c r="J88" s="99" t="s">
        <v>297</v>
      </c>
      <c r="K88" s="99">
        <v>0</v>
      </c>
      <c r="L88" t="str">
        <f t="shared" si="1"/>
        <v>('043', 'SEN', 2, NULL, 0),</v>
      </c>
      <c r="M88" t="s">
        <v>375</v>
      </c>
    </row>
    <row r="89" spans="7:13">
      <c r="G89" s="10" t="s">
        <v>178</v>
      </c>
      <c r="H89" s="10" t="s">
        <v>386</v>
      </c>
      <c r="I89" s="99">
        <v>1</v>
      </c>
      <c r="J89" s="99" t="s">
        <v>297</v>
      </c>
      <c r="K89" s="99">
        <v>-1</v>
      </c>
      <c r="L89" t="str">
        <f t="shared" si="1"/>
        <v>('044', 'JOR', 1, NULL, -1),</v>
      </c>
      <c r="M89" t="s">
        <v>387</v>
      </c>
    </row>
    <row r="90" spans="7:13">
      <c r="G90" s="10" t="s">
        <v>178</v>
      </c>
      <c r="H90" s="10" t="s">
        <v>382</v>
      </c>
      <c r="I90" s="99">
        <v>2</v>
      </c>
      <c r="J90" s="99" t="s">
        <v>297</v>
      </c>
      <c r="K90" s="99">
        <v>-1</v>
      </c>
      <c r="L90" t="str">
        <f t="shared" si="1"/>
        <v>('044', 'ALG', 2, NULL, -1),</v>
      </c>
      <c r="M90" t="s">
        <v>383</v>
      </c>
    </row>
    <row r="91" spans="7:13">
      <c r="G91" s="10" t="s">
        <v>180</v>
      </c>
      <c r="H91" s="10" t="s">
        <v>388</v>
      </c>
      <c r="I91" s="99">
        <v>5</v>
      </c>
      <c r="J91" s="99" t="s">
        <v>297</v>
      </c>
      <c r="K91" s="99">
        <v>-1</v>
      </c>
      <c r="L91" t="str">
        <f t="shared" si="1"/>
        <v>('045', 'POR', 5, NULL, -1),</v>
      </c>
      <c r="M91" t="s">
        <v>389</v>
      </c>
    </row>
    <row r="92" spans="7:13">
      <c r="G92" s="10" t="s">
        <v>180</v>
      </c>
      <c r="H92" s="10" t="s">
        <v>400</v>
      </c>
      <c r="I92" s="99">
        <v>0</v>
      </c>
      <c r="J92" s="99" t="s">
        <v>297</v>
      </c>
      <c r="K92" s="99">
        <v>-1</v>
      </c>
      <c r="L92" t="str">
        <f t="shared" si="1"/>
        <v>('045', 'UZB', 0, NULL, -1),</v>
      </c>
      <c r="M92" t="s">
        <v>401</v>
      </c>
    </row>
    <row r="93" spans="7:13">
      <c r="G93" s="10" t="s">
        <v>182</v>
      </c>
      <c r="H93" s="10" t="s">
        <v>392</v>
      </c>
      <c r="I93" s="99">
        <v>0</v>
      </c>
      <c r="J93" s="99" t="s">
        <v>297</v>
      </c>
      <c r="K93" s="99">
        <v>-1</v>
      </c>
      <c r="L93" t="str">
        <f t="shared" si="1"/>
        <v>('046', 'ENG', 0, NULL, -1),</v>
      </c>
      <c r="M93" t="s">
        <v>393</v>
      </c>
    </row>
    <row r="94" spans="7:13">
      <c r="G94" s="10" t="s">
        <v>182</v>
      </c>
      <c r="H94" s="10" t="s">
        <v>396</v>
      </c>
      <c r="I94" s="99">
        <v>0</v>
      </c>
      <c r="J94" s="99" t="s">
        <v>297</v>
      </c>
      <c r="K94" s="99">
        <v>-1</v>
      </c>
      <c r="L94" t="str">
        <f t="shared" si="1"/>
        <v>('046', 'GHA', 0, NULL, -1),</v>
      </c>
      <c r="M94" t="s">
        <v>397</v>
      </c>
    </row>
    <row r="95" spans="7:13">
      <c r="G95" s="10" t="s">
        <v>184</v>
      </c>
      <c r="H95" s="10" t="s">
        <v>398</v>
      </c>
      <c r="I95" s="99">
        <v>0</v>
      </c>
      <c r="J95" s="99" t="s">
        <v>297</v>
      </c>
      <c r="K95" s="99">
        <v>-1</v>
      </c>
      <c r="L95" t="str">
        <f t="shared" si="1"/>
        <v>('047', 'PAN', 0, NULL, -1),</v>
      </c>
      <c r="M95" t="s">
        <v>399</v>
      </c>
    </row>
    <row r="96" spans="7:13">
      <c r="G96" s="10" t="s">
        <v>184</v>
      </c>
      <c r="H96" s="10" t="s">
        <v>394</v>
      </c>
      <c r="I96" s="99">
        <v>1</v>
      </c>
      <c r="J96" s="99" t="s">
        <v>297</v>
      </c>
      <c r="K96" s="99">
        <v>-1</v>
      </c>
      <c r="L96" t="str">
        <f t="shared" si="1"/>
        <v>('047', 'CRO', 1, NULL, -1),</v>
      </c>
      <c r="M96" t="s">
        <v>395</v>
      </c>
    </row>
    <row r="97" spans="7:13">
      <c r="G97" s="10" t="s">
        <v>186</v>
      </c>
      <c r="H97" s="10" t="s">
        <v>402</v>
      </c>
      <c r="I97" s="99">
        <v>1</v>
      </c>
      <c r="J97" s="99" t="s">
        <v>297</v>
      </c>
      <c r="K97" s="99">
        <v>-2</v>
      </c>
      <c r="L97" t="str">
        <f t="shared" si="1"/>
        <v>('048', 'COL', 1, NULL, -2),</v>
      </c>
      <c r="M97" t="s">
        <v>403</v>
      </c>
    </row>
    <row r="98" spans="7:13">
      <c r="G98" s="10" t="s">
        <v>186</v>
      </c>
      <c r="H98" s="10" t="s">
        <v>390</v>
      </c>
      <c r="I98" s="99">
        <v>0</v>
      </c>
      <c r="J98" s="99" t="s">
        <v>297</v>
      </c>
      <c r="K98" s="99">
        <v>-1</v>
      </c>
      <c r="L98" t="str">
        <f t="shared" si="1"/>
        <v>('048', 'COD', 0, NULL, -1),</v>
      </c>
      <c r="M98" t="s">
        <v>391</v>
      </c>
    </row>
    <row r="99" spans="7:13">
      <c r="G99" s="10" t="s">
        <v>188</v>
      </c>
      <c r="H99" s="10" t="s">
        <v>326</v>
      </c>
      <c r="I99" s="99">
        <v>2</v>
      </c>
      <c r="J99" s="99" t="s">
        <v>297</v>
      </c>
      <c r="K99" s="99">
        <v>-1</v>
      </c>
      <c r="L99" t="str">
        <f t="shared" si="1"/>
        <v>('049', 'SUI', 2, NULL, -1),</v>
      </c>
      <c r="M99" t="s">
        <v>327</v>
      </c>
    </row>
    <row r="100" spans="7:13">
      <c r="G100" s="10" t="s">
        <v>188</v>
      </c>
      <c r="H100" s="10" t="s">
        <v>309</v>
      </c>
      <c r="I100" s="99">
        <v>1</v>
      </c>
      <c r="J100" s="99" t="s">
        <v>297</v>
      </c>
      <c r="K100" s="99">
        <v>-2</v>
      </c>
      <c r="L100" t="str">
        <f t="shared" si="1"/>
        <v>('049', 'CAN', 1, NULL, -2),</v>
      </c>
      <c r="M100" t="s">
        <v>310</v>
      </c>
    </row>
    <row r="101" spans="7:13">
      <c r="G101" s="10" t="s">
        <v>190</v>
      </c>
      <c r="H101" s="10" t="s">
        <v>312</v>
      </c>
      <c r="I101" s="99">
        <v>3</v>
      </c>
      <c r="J101" s="99" t="s">
        <v>297</v>
      </c>
      <c r="K101" s="99">
        <v>-1</v>
      </c>
      <c r="L101" t="str">
        <f t="shared" si="1"/>
        <v>('050', 'BIH', 3, NULL, -1),</v>
      </c>
      <c r="M101" t="s">
        <v>313</v>
      </c>
    </row>
    <row r="102" spans="7:13">
      <c r="G102" s="10" t="s">
        <v>190</v>
      </c>
      <c r="H102" s="10" t="s">
        <v>323</v>
      </c>
      <c r="I102" s="99">
        <v>1</v>
      </c>
      <c r="J102" s="99" t="s">
        <v>297</v>
      </c>
      <c r="K102" s="99">
        <v>-1</v>
      </c>
      <c r="L102" t="str">
        <f t="shared" si="1"/>
        <v>('050', 'QAT', 1, NULL, -1),</v>
      </c>
      <c r="M102" t="s">
        <v>324</v>
      </c>
    </row>
    <row r="103" spans="7:13">
      <c r="G103" s="10" t="s">
        <v>191</v>
      </c>
      <c r="H103" s="10" t="s">
        <v>334</v>
      </c>
      <c r="I103" s="99">
        <v>0</v>
      </c>
      <c r="J103" s="99" t="s">
        <v>297</v>
      </c>
      <c r="K103" s="99">
        <v>-1</v>
      </c>
      <c r="L103" t="str">
        <f t="shared" si="1"/>
        <v>('051', 'SCO', 0, NULL, -1),</v>
      </c>
      <c r="M103" t="s">
        <v>335</v>
      </c>
    </row>
    <row r="104" spans="7:13">
      <c r="G104" s="10" t="s">
        <v>191</v>
      </c>
      <c r="H104" s="10" t="s">
        <v>328</v>
      </c>
      <c r="I104" s="99">
        <v>3</v>
      </c>
      <c r="J104" s="99" t="s">
        <v>297</v>
      </c>
      <c r="K104" s="99">
        <v>-2</v>
      </c>
      <c r="L104" t="str">
        <f t="shared" si="1"/>
        <v>('051', 'BRA', 3, NULL, -2),</v>
      </c>
      <c r="M104" t="s">
        <v>329</v>
      </c>
    </row>
    <row r="105" spans="7:13">
      <c r="G105" s="10" t="s">
        <v>193</v>
      </c>
      <c r="H105" s="10" t="s">
        <v>330</v>
      </c>
      <c r="I105" s="99">
        <v>4</v>
      </c>
      <c r="J105" s="99" t="s">
        <v>297</v>
      </c>
      <c r="K105" s="99">
        <v>0</v>
      </c>
      <c r="L105" t="str">
        <f t="shared" si="1"/>
        <v>('052', 'MAR', 4, NULL, 0),</v>
      </c>
      <c r="M105" t="s">
        <v>331</v>
      </c>
    </row>
    <row r="106" spans="7:13">
      <c r="G106" s="10" t="s">
        <v>193</v>
      </c>
      <c r="H106" s="10" t="s">
        <v>332</v>
      </c>
      <c r="I106" s="99">
        <v>2</v>
      </c>
      <c r="J106" s="99" t="s">
        <v>297</v>
      </c>
      <c r="K106" s="99">
        <v>-3</v>
      </c>
      <c r="L106" t="str">
        <f t="shared" si="1"/>
        <v>('052', 'HAI', 2, NULL, -3),</v>
      </c>
      <c r="M106" t="s">
        <v>333</v>
      </c>
    </row>
    <row r="107" spans="7:13">
      <c r="G107" s="10" t="s">
        <v>194</v>
      </c>
      <c r="H107" s="10" t="s">
        <v>306</v>
      </c>
      <c r="I107" s="99">
        <v>0</v>
      </c>
      <c r="J107" s="99" t="s">
        <v>297</v>
      </c>
      <c r="K107" s="99">
        <v>0</v>
      </c>
      <c r="L107" t="str">
        <f t="shared" si="1"/>
        <v>('053', 'CZE', 0, NULL, 0),</v>
      </c>
      <c r="M107" t="s">
        <v>307</v>
      </c>
    </row>
    <row r="108" spans="7:13">
      <c r="G108" s="10" t="s">
        <v>194</v>
      </c>
      <c r="H108" s="10" t="s">
        <v>296</v>
      </c>
      <c r="I108" s="99">
        <v>3</v>
      </c>
      <c r="J108" s="99" t="s">
        <v>297</v>
      </c>
      <c r="K108" s="99">
        <v>-1</v>
      </c>
      <c r="L108" t="str">
        <f t="shared" si="1"/>
        <v>('053', 'MEX', 3, NULL, -1),</v>
      </c>
      <c r="M108" t="s">
        <v>298</v>
      </c>
    </row>
    <row r="109" spans="7:13">
      <c r="G109" s="10" t="s">
        <v>196</v>
      </c>
      <c r="H109" s="10" t="s">
        <v>300</v>
      </c>
      <c r="I109" s="99">
        <v>1</v>
      </c>
      <c r="J109" s="99" t="s">
        <v>297</v>
      </c>
      <c r="K109" s="99">
        <v>-1</v>
      </c>
      <c r="L109" t="str">
        <f t="shared" si="1"/>
        <v>('054', 'RSA', 1, NULL, -1),</v>
      </c>
      <c r="M109" t="s">
        <v>301</v>
      </c>
    </row>
    <row r="110" spans="7:13">
      <c r="G110" s="10" t="s">
        <v>196</v>
      </c>
      <c r="H110" s="10" t="s">
        <v>303</v>
      </c>
      <c r="I110" s="99">
        <v>0</v>
      </c>
      <c r="J110" s="99" t="s">
        <v>297</v>
      </c>
      <c r="K110" s="99">
        <v>-1</v>
      </c>
      <c r="L110" t="str">
        <f t="shared" si="1"/>
        <v>('054', 'KOR', 0, NULL, -1),</v>
      </c>
      <c r="M110" t="s">
        <v>304</v>
      </c>
    </row>
    <row r="111" spans="7:13">
      <c r="G111" s="10" t="s">
        <v>197</v>
      </c>
      <c r="H111" s="10" t="s">
        <v>342</v>
      </c>
      <c r="I111" s="99">
        <v>0</v>
      </c>
      <c r="J111" s="99" t="s">
        <v>297</v>
      </c>
      <c r="K111" s="99">
        <v>-2</v>
      </c>
      <c r="L111" t="str">
        <f t="shared" si="1"/>
        <v>('055', 'CUW', 0, NULL, -2),</v>
      </c>
      <c r="M111" t="s">
        <v>343</v>
      </c>
    </row>
    <row r="112" spans="7:13">
      <c r="G112" s="10" t="s">
        <v>197</v>
      </c>
      <c r="H112" s="10" t="s">
        <v>348</v>
      </c>
      <c r="I112" s="99">
        <v>2</v>
      </c>
      <c r="J112" s="99" t="s">
        <v>297</v>
      </c>
      <c r="K112" s="99">
        <v>-1</v>
      </c>
      <c r="L112" t="str">
        <f t="shared" si="1"/>
        <v>('055', 'CIV', 2, NULL, -1),</v>
      </c>
      <c r="M112" t="s">
        <v>349</v>
      </c>
    </row>
    <row r="113" spans="7:13">
      <c r="G113" s="10" t="s">
        <v>199</v>
      </c>
      <c r="H113" s="10" t="s">
        <v>350</v>
      </c>
      <c r="I113" s="99">
        <v>2</v>
      </c>
      <c r="J113" s="99" t="s">
        <v>297</v>
      </c>
      <c r="K113" s="99">
        <v>-3</v>
      </c>
      <c r="L113" t="str">
        <f t="shared" si="1"/>
        <v>('056', 'ECU', 2, NULL, -3),</v>
      </c>
      <c r="M113" t="s">
        <v>351</v>
      </c>
    </row>
    <row r="114" spans="7:13">
      <c r="G114" s="10" t="s">
        <v>199</v>
      </c>
      <c r="H114" s="10" t="s">
        <v>340</v>
      </c>
      <c r="I114" s="99">
        <v>1</v>
      </c>
      <c r="J114" s="99" t="s">
        <v>297</v>
      </c>
      <c r="K114" s="99">
        <v>-1</v>
      </c>
      <c r="L114" t="str">
        <f t="shared" si="1"/>
        <v>('056', 'GER', 1, NULL, -1),</v>
      </c>
      <c r="M114" t="s">
        <v>341</v>
      </c>
    </row>
    <row r="115" spans="7:13">
      <c r="G115" s="10" t="s">
        <v>200</v>
      </c>
      <c r="H115" s="10" t="s">
        <v>346</v>
      </c>
      <c r="I115" s="99">
        <v>1</v>
      </c>
      <c r="J115" s="99" t="s">
        <v>297</v>
      </c>
      <c r="K115" s="99">
        <v>-1</v>
      </c>
      <c r="L115" t="str">
        <f t="shared" si="1"/>
        <v>('057', 'JPN', 1, NULL, -1),</v>
      </c>
      <c r="M115" t="s">
        <v>347</v>
      </c>
    </row>
    <row r="116" spans="7:13">
      <c r="G116" s="10" t="s">
        <v>200</v>
      </c>
      <c r="H116" s="10" t="s">
        <v>352</v>
      </c>
      <c r="I116" s="99">
        <v>1</v>
      </c>
      <c r="J116" s="99" t="s">
        <v>297</v>
      </c>
      <c r="K116" s="99">
        <v>-2</v>
      </c>
      <c r="L116" t="str">
        <f t="shared" si="1"/>
        <v>('057', 'SWE', 1, NULL, -2),</v>
      </c>
      <c r="M116" t="s">
        <v>353</v>
      </c>
    </row>
    <row r="117" spans="7:13">
      <c r="G117" s="10" t="s">
        <v>202</v>
      </c>
      <c r="H117" s="10" t="s">
        <v>354</v>
      </c>
      <c r="I117" s="99">
        <v>1</v>
      </c>
      <c r="J117" s="99" t="s">
        <v>297</v>
      </c>
      <c r="K117" s="99">
        <v>0</v>
      </c>
      <c r="L117" t="str">
        <f t="shared" si="1"/>
        <v>('058', 'TUN', 1, NULL, 0),</v>
      </c>
      <c r="M117" t="s">
        <v>355</v>
      </c>
    </row>
    <row r="118" spans="7:13">
      <c r="G118" s="10" t="s">
        <v>202</v>
      </c>
      <c r="H118" s="10" t="s">
        <v>344</v>
      </c>
      <c r="I118" s="99">
        <v>3</v>
      </c>
      <c r="J118" s="99" t="s">
        <v>297</v>
      </c>
      <c r="K118" s="99">
        <v>0</v>
      </c>
      <c r="L118" t="str">
        <f t="shared" si="1"/>
        <v>('058', 'NED', 3, NULL, 0),</v>
      </c>
      <c r="M118" t="s">
        <v>345</v>
      </c>
    </row>
    <row r="119" spans="7:13">
      <c r="G119" s="10" t="s">
        <v>203</v>
      </c>
      <c r="H119" s="10" t="s">
        <v>338</v>
      </c>
      <c r="I119" s="99">
        <v>3</v>
      </c>
      <c r="J119" s="99" t="s">
        <v>297</v>
      </c>
      <c r="K119" s="99">
        <v>0</v>
      </c>
      <c r="L119" t="str">
        <f t="shared" si="1"/>
        <v>('059', 'TUR', 3, NULL, 0),</v>
      </c>
      <c r="M119" t="s">
        <v>339</v>
      </c>
    </row>
    <row r="120" spans="7:13">
      <c r="G120" s="10" t="s">
        <v>203</v>
      </c>
      <c r="H120" s="10" t="s">
        <v>316</v>
      </c>
      <c r="I120" s="99">
        <v>2</v>
      </c>
      <c r="J120" s="99" t="s">
        <v>297</v>
      </c>
      <c r="K120" s="99">
        <v>-1</v>
      </c>
      <c r="L120" t="str">
        <f t="shared" si="1"/>
        <v>('059', 'USA', 2, NULL, -1),</v>
      </c>
      <c r="M120" t="s">
        <v>317</v>
      </c>
    </row>
    <row r="121" spans="7:13">
      <c r="G121" s="10" t="s">
        <v>205</v>
      </c>
      <c r="H121" s="10" t="s">
        <v>320</v>
      </c>
      <c r="I121" s="99">
        <v>0</v>
      </c>
      <c r="J121" s="99" t="s">
        <v>297</v>
      </c>
      <c r="K121" s="99">
        <v>-1</v>
      </c>
      <c r="L121" t="str">
        <f t="shared" si="1"/>
        <v>('060', 'PAR', 0, NULL, -1),</v>
      </c>
      <c r="M121" t="s">
        <v>321</v>
      </c>
    </row>
    <row r="122" spans="7:13">
      <c r="G122" s="10" t="s">
        <v>205</v>
      </c>
      <c r="H122" s="10" t="s">
        <v>336</v>
      </c>
      <c r="I122" s="99">
        <v>0</v>
      </c>
      <c r="J122" s="99" t="s">
        <v>297</v>
      </c>
      <c r="K122" s="99">
        <v>-1</v>
      </c>
      <c r="L122" t="str">
        <f t="shared" si="1"/>
        <v>('060', 'AUS', 0, NULL, -1),</v>
      </c>
      <c r="M122" t="s">
        <v>337</v>
      </c>
    </row>
    <row r="123" spans="7:13">
      <c r="G123" s="10" t="s">
        <v>206</v>
      </c>
      <c r="H123" s="10" t="s">
        <v>378</v>
      </c>
      <c r="I123" s="99">
        <v>1</v>
      </c>
      <c r="J123" s="99" t="s">
        <v>297</v>
      </c>
      <c r="K123" s="99">
        <v>-1</v>
      </c>
      <c r="L123" t="str">
        <f t="shared" si="1"/>
        <v>('061', 'NOR', 1, NULL, -1),</v>
      </c>
      <c r="M123" t="s">
        <v>379</v>
      </c>
    </row>
    <row r="124" spans="7:13">
      <c r="G124" s="10" t="s">
        <v>206</v>
      </c>
      <c r="H124" s="10" t="s">
        <v>372</v>
      </c>
      <c r="I124" s="99">
        <v>4</v>
      </c>
      <c r="J124" s="99" t="s">
        <v>297</v>
      </c>
      <c r="K124" s="99">
        <v>-1</v>
      </c>
      <c r="L124" t="str">
        <f t="shared" si="1"/>
        <v>('061', 'FRA', 4, NULL, -1),</v>
      </c>
      <c r="M124" t="s">
        <v>373</v>
      </c>
    </row>
    <row r="125" spans="7:13">
      <c r="G125" s="10" t="s">
        <v>208</v>
      </c>
      <c r="H125" s="10" t="s">
        <v>374</v>
      </c>
      <c r="I125" s="99">
        <v>5</v>
      </c>
      <c r="J125" s="99" t="s">
        <v>297</v>
      </c>
      <c r="K125" s="99">
        <v>-2</v>
      </c>
      <c r="L125" t="str">
        <f t="shared" si="1"/>
        <v>('062', 'SEN', 5, NULL, -2),</v>
      </c>
      <c r="M125" t="s">
        <v>375</v>
      </c>
    </row>
    <row r="126" spans="7:13">
      <c r="G126" s="10" t="s">
        <v>208</v>
      </c>
      <c r="H126" s="10" t="s">
        <v>376</v>
      </c>
      <c r="I126" s="99">
        <v>0</v>
      </c>
      <c r="J126" s="99" t="s">
        <v>297</v>
      </c>
      <c r="K126" s="99">
        <v>-6</v>
      </c>
      <c r="L126" t="str">
        <f t="shared" si="1"/>
        <v>('062', 'IRQ', 0, NULL, -6),</v>
      </c>
      <c r="M126" t="s">
        <v>377</v>
      </c>
    </row>
    <row r="127" spans="7:13">
      <c r="G127" s="10" t="s">
        <v>209</v>
      </c>
      <c r="H127" s="10" t="s">
        <v>358</v>
      </c>
      <c r="I127" s="99">
        <v>0</v>
      </c>
      <c r="J127" s="99" t="s">
        <v>297</v>
      </c>
      <c r="K127" s="99">
        <v>-1</v>
      </c>
      <c r="L127" t="str">
        <f t="shared" si="1"/>
        <v>('063', 'CPV', 0, NULL, -1),</v>
      </c>
      <c r="M127" t="s">
        <v>359</v>
      </c>
    </row>
    <row r="128" spans="7:13">
      <c r="G128" s="10" t="s">
        <v>209</v>
      </c>
      <c r="H128" s="10" t="s">
        <v>364</v>
      </c>
      <c r="I128" s="99">
        <v>0</v>
      </c>
      <c r="J128" s="99" t="s">
        <v>297</v>
      </c>
      <c r="K128" s="99">
        <v>-3</v>
      </c>
      <c r="L128" t="str">
        <f t="shared" si="1"/>
        <v>('063', 'KSA', 0, NULL, -3),</v>
      </c>
      <c r="M128" t="s">
        <v>365</v>
      </c>
    </row>
    <row r="129" spans="7:13">
      <c r="G129" s="10" t="s">
        <v>211</v>
      </c>
      <c r="H129" s="10" t="s">
        <v>366</v>
      </c>
      <c r="I129" s="99">
        <v>0</v>
      </c>
      <c r="J129" s="99" t="s">
        <v>297</v>
      </c>
      <c r="K129" s="99">
        <v>-7</v>
      </c>
      <c r="L129" t="str">
        <f t="shared" si="1"/>
        <v>('064', 'URU', 0, NULL, -7),</v>
      </c>
      <c r="M129" t="s">
        <v>367</v>
      </c>
    </row>
    <row r="130" spans="7:13">
      <c r="G130" s="10" t="s">
        <v>211</v>
      </c>
      <c r="H130" s="10" t="s">
        <v>356</v>
      </c>
      <c r="I130" s="99">
        <v>1</v>
      </c>
      <c r="J130" s="99" t="s">
        <v>297</v>
      </c>
      <c r="K130" s="99">
        <v>-1</v>
      </c>
      <c r="L130" t="str">
        <f t="shared" si="1"/>
        <v>('064', 'ESP', 1, NULL, -1),</v>
      </c>
      <c r="M130" t="s">
        <v>357</v>
      </c>
    </row>
    <row r="131" spans="7:13">
      <c r="G131" s="10" t="s">
        <v>212</v>
      </c>
      <c r="H131" s="10" t="s">
        <v>362</v>
      </c>
      <c r="I131" s="99">
        <v>1</v>
      </c>
      <c r="J131" s="99" t="s">
        <v>297</v>
      </c>
      <c r="K131" s="99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363</v>
      </c>
    </row>
    <row r="132" spans="7:13">
      <c r="G132" s="10" t="s">
        <v>212</v>
      </c>
      <c r="H132" s="10" t="s">
        <v>368</v>
      </c>
      <c r="I132" s="99">
        <v>1</v>
      </c>
      <c r="J132" s="99" t="s">
        <v>297</v>
      </c>
      <c r="K132" s="99">
        <v>-4</v>
      </c>
      <c r="L132" t="str">
        <f t="shared" si="2"/>
        <v>('065', 'IRN', 1, NULL, -4),</v>
      </c>
      <c r="M132" t="s">
        <v>369</v>
      </c>
    </row>
    <row r="133" spans="7:13">
      <c r="G133" s="10" t="s">
        <v>214</v>
      </c>
      <c r="H133" s="10" t="s">
        <v>370</v>
      </c>
      <c r="I133" s="99">
        <v>1</v>
      </c>
      <c r="J133" s="99" t="s">
        <v>297</v>
      </c>
      <c r="K133" s="99">
        <v>-2</v>
      </c>
      <c r="L133" t="str">
        <f t="shared" si="2"/>
        <v>('066', 'NZL', 1, NULL, -2),</v>
      </c>
      <c r="M133" t="s">
        <v>371</v>
      </c>
    </row>
    <row r="134" spans="7:13">
      <c r="G134" s="10" t="s">
        <v>214</v>
      </c>
      <c r="H134" s="10" t="s">
        <v>360</v>
      </c>
      <c r="I134" s="99">
        <v>5</v>
      </c>
      <c r="J134" s="99" t="s">
        <v>297</v>
      </c>
      <c r="K134" s="99">
        <v>0</v>
      </c>
      <c r="L134" t="str">
        <f t="shared" si="2"/>
        <v>('066', 'BEL', 5, NULL, 0),</v>
      </c>
      <c r="M134" t="s">
        <v>361</v>
      </c>
    </row>
    <row r="135" spans="7:13">
      <c r="G135" s="10" t="s">
        <v>215</v>
      </c>
      <c r="H135" s="10" t="s">
        <v>398</v>
      </c>
      <c r="I135" s="99">
        <v>0</v>
      </c>
      <c r="J135" s="99" t="s">
        <v>297</v>
      </c>
      <c r="K135" s="99">
        <v>-2</v>
      </c>
      <c r="L135" t="str">
        <f t="shared" si="2"/>
        <v>('067', 'PAN', 0, NULL, -2),</v>
      </c>
      <c r="M135" t="s">
        <v>399</v>
      </c>
    </row>
    <row r="136" spans="7:13">
      <c r="G136" s="10" t="s">
        <v>215</v>
      </c>
      <c r="H136" s="10" t="s">
        <v>392</v>
      </c>
      <c r="I136" s="99">
        <v>2</v>
      </c>
      <c r="J136" s="99" t="s">
        <v>297</v>
      </c>
      <c r="K136" s="99">
        <v>-1</v>
      </c>
      <c r="L136" t="str">
        <f t="shared" si="2"/>
        <v>('067', 'ENG', 2, NULL, -1),</v>
      </c>
      <c r="M136" t="s">
        <v>393</v>
      </c>
    </row>
    <row r="137" spans="7:13">
      <c r="G137" s="10" t="s">
        <v>217</v>
      </c>
      <c r="H137" s="10" t="s">
        <v>394</v>
      </c>
      <c r="I137" s="99">
        <v>2</v>
      </c>
      <c r="J137" s="99" t="s">
        <v>297</v>
      </c>
      <c r="K137" s="99">
        <v>-1</v>
      </c>
      <c r="L137" t="str">
        <f t="shared" si="2"/>
        <v>('068', 'CRO', 2, NULL, -1),</v>
      </c>
      <c r="M137" t="s">
        <v>395</v>
      </c>
    </row>
    <row r="138" spans="7:13">
      <c r="G138" s="10" t="s">
        <v>217</v>
      </c>
      <c r="H138" s="10" t="s">
        <v>396</v>
      </c>
      <c r="I138" s="99">
        <v>1</v>
      </c>
      <c r="J138" s="99" t="s">
        <v>297</v>
      </c>
      <c r="K138" s="99">
        <v>-1</v>
      </c>
      <c r="L138" t="str">
        <f t="shared" si="2"/>
        <v>('068', 'GHA', 1, NULL, -1),</v>
      </c>
      <c r="M138" t="s">
        <v>397</v>
      </c>
    </row>
    <row r="139" spans="7:13">
      <c r="G139" s="10" t="s">
        <v>218</v>
      </c>
      <c r="H139" s="10" t="s">
        <v>402</v>
      </c>
      <c r="I139" s="99">
        <v>0</v>
      </c>
      <c r="J139" s="99" t="s">
        <v>297</v>
      </c>
      <c r="K139" s="99">
        <v>-1</v>
      </c>
      <c r="L139" t="str">
        <f t="shared" si="2"/>
        <v>('069', 'COL', 0, NULL, -1),</v>
      </c>
      <c r="M139" t="s">
        <v>403</v>
      </c>
    </row>
    <row r="140" spans="7:13">
      <c r="G140" s="10" t="s">
        <v>218</v>
      </c>
      <c r="H140" s="10" t="s">
        <v>388</v>
      </c>
      <c r="I140" s="99">
        <v>0</v>
      </c>
      <c r="J140" s="99" t="s">
        <v>297</v>
      </c>
      <c r="K140" s="99">
        <v>0</v>
      </c>
      <c r="L140" t="str">
        <f t="shared" si="2"/>
        <v>('069', 'POR', 0, NULL, 0),</v>
      </c>
      <c r="M140" t="s">
        <v>389</v>
      </c>
    </row>
    <row r="141" spans="7:13">
      <c r="G141" s="10" t="s">
        <v>220</v>
      </c>
      <c r="H141" s="10" t="s">
        <v>390</v>
      </c>
      <c r="I141" s="99">
        <v>3</v>
      </c>
      <c r="J141" s="99" t="s">
        <v>297</v>
      </c>
      <c r="K141" s="99">
        <v>-3</v>
      </c>
      <c r="L141" t="str">
        <f t="shared" si="2"/>
        <v>('070', 'COD', 3, NULL, -3),</v>
      </c>
      <c r="M141" t="s">
        <v>391</v>
      </c>
    </row>
    <row r="142" spans="7:13">
      <c r="G142" s="10" t="s">
        <v>220</v>
      </c>
      <c r="H142" s="10" t="s">
        <v>400</v>
      </c>
      <c r="I142" s="99">
        <v>1</v>
      </c>
      <c r="J142" s="99" t="s">
        <v>297</v>
      </c>
      <c r="K142" s="99">
        <v>-2</v>
      </c>
      <c r="L142" t="str">
        <f t="shared" si="2"/>
        <v>('070', 'UZB', 1, NULL, -2),</v>
      </c>
      <c r="M142" t="s">
        <v>401</v>
      </c>
    </row>
    <row r="143" spans="7:13">
      <c r="G143" s="10" t="s">
        <v>221</v>
      </c>
      <c r="H143" s="10" t="s">
        <v>382</v>
      </c>
      <c r="I143" s="99">
        <v>3</v>
      </c>
      <c r="J143" s="99" t="s">
        <v>297</v>
      </c>
      <c r="K143" s="99">
        <v>0</v>
      </c>
      <c r="L143" t="str">
        <f t="shared" si="2"/>
        <v>('071', 'ALG', 3, NULL, 0),</v>
      </c>
      <c r="M143" t="s">
        <v>383</v>
      </c>
    </row>
    <row r="144" spans="7:13">
      <c r="G144" s="10" t="s">
        <v>221</v>
      </c>
      <c r="H144" s="10" t="s">
        <v>384</v>
      </c>
      <c r="I144" s="99">
        <v>3</v>
      </c>
      <c r="J144" s="99" t="s">
        <v>297</v>
      </c>
      <c r="K144" s="99">
        <v>-1</v>
      </c>
      <c r="L144" t="str">
        <f t="shared" si="2"/>
        <v>('071', 'AUT', 3, NULL, -1),</v>
      </c>
      <c r="M144" t="s">
        <v>385</v>
      </c>
    </row>
    <row r="145" spans="7:13">
      <c r="G145" s="10" t="s">
        <v>223</v>
      </c>
      <c r="H145" s="10" t="s">
        <v>386</v>
      </c>
      <c r="I145" s="99">
        <v>1</v>
      </c>
      <c r="J145" s="99" t="s">
        <v>297</v>
      </c>
      <c r="K145" s="99">
        <v>-3</v>
      </c>
      <c r="L145" t="str">
        <f t="shared" si="2"/>
        <v>('072', 'JOR', 1, NULL, -3),</v>
      </c>
      <c r="M145" t="s">
        <v>387</v>
      </c>
    </row>
    <row r="146" spans="7:13">
      <c r="G146" s="10" t="s">
        <v>223</v>
      </c>
      <c r="H146" s="10" t="s">
        <v>380</v>
      </c>
      <c r="I146" s="99">
        <v>3</v>
      </c>
      <c r="J146" s="99" t="s">
        <v>297</v>
      </c>
      <c r="K146" s="99">
        <v>0</v>
      </c>
      <c r="L146" t="str">
        <f t="shared" si="2"/>
        <v>('072', 'ARG', 3, NULL, 0),</v>
      </c>
      <c r="M146" t="s">
        <v>381</v>
      </c>
    </row>
    <row r="147" spans="7:13">
      <c r="G147" s="10" t="s">
        <v>224</v>
      </c>
      <c r="H147" s="10" t="s">
        <v>300</v>
      </c>
      <c r="I147" s="99">
        <v>0</v>
      </c>
      <c r="J147" s="99" t="s">
        <v>297</v>
      </c>
      <c r="K147" s="99">
        <v>0</v>
      </c>
      <c r="L147" t="str">
        <f t="shared" si="2"/>
        <v>('073', 'RSA', 0, NULL, 0),</v>
      </c>
      <c r="M147" t="s">
        <v>301</v>
      </c>
    </row>
    <row r="148" spans="7:13">
      <c r="G148" s="10" t="s">
        <v>224</v>
      </c>
      <c r="H148" s="10" t="s">
        <v>309</v>
      </c>
      <c r="I148" s="99">
        <v>1</v>
      </c>
      <c r="J148" s="99" t="s">
        <v>297</v>
      </c>
      <c r="K148" s="99">
        <v>-2</v>
      </c>
      <c r="L148" t="str">
        <f t="shared" si="2"/>
        <v>('073', 'CAN', 1, NULL, -2),</v>
      </c>
      <c r="M148" t="s">
        <v>310</v>
      </c>
    </row>
    <row r="149" spans="7:13">
      <c r="G149" s="10" t="s">
        <v>227</v>
      </c>
      <c r="H149" s="10" t="s">
        <v>328</v>
      </c>
      <c r="I149" s="99">
        <v>2</v>
      </c>
      <c r="J149" s="99" t="s">
        <v>297</v>
      </c>
      <c r="K149" s="99">
        <v>-2</v>
      </c>
      <c r="L149" t="str">
        <f t="shared" si="2"/>
        <v>('074', 'BRA', 2, NULL, -2),</v>
      </c>
      <c r="M149" t="s">
        <v>329</v>
      </c>
    </row>
    <row r="150" spans="7:13">
      <c r="G150" s="10" t="s">
        <v>227</v>
      </c>
      <c r="H150" s="10" t="s">
        <v>346</v>
      </c>
      <c r="I150" s="99">
        <v>1</v>
      </c>
      <c r="J150" s="99" t="s">
        <v>297</v>
      </c>
      <c r="K150" s="99">
        <v>-3</v>
      </c>
      <c r="L150" t="str">
        <f t="shared" si="2"/>
        <v>('074', 'JPN', 1, NULL, -3),</v>
      </c>
      <c r="M150" t="s">
        <v>347</v>
      </c>
    </row>
    <row r="151" spans="7:13">
      <c r="G151" s="10" t="s">
        <v>229</v>
      </c>
      <c r="H151" s="10" t="s">
        <v>340</v>
      </c>
      <c r="I151" s="99">
        <v>1</v>
      </c>
      <c r="J151" s="99">
        <v>3</v>
      </c>
      <c r="K151" s="99">
        <v>-4</v>
      </c>
      <c r="L151" t="str">
        <f t="shared" si="2"/>
        <v>('075', 'GER', 1, 3, -4),</v>
      </c>
      <c r="M151" t="s">
        <v>341</v>
      </c>
    </row>
    <row r="152" spans="7:13">
      <c r="G152" s="10" t="s">
        <v>229</v>
      </c>
      <c r="H152" s="10" t="s">
        <v>320</v>
      </c>
      <c r="I152" s="99">
        <v>1</v>
      </c>
      <c r="J152" s="99">
        <v>4</v>
      </c>
      <c r="K152" s="99">
        <v>-4</v>
      </c>
      <c r="L152" t="str">
        <f t="shared" si="2"/>
        <v>('075', 'PAR', 1, 4, -4),</v>
      </c>
      <c r="M152" t="s">
        <v>321</v>
      </c>
    </row>
    <row r="153" spans="7:13">
      <c r="G153" s="10" t="s">
        <v>231</v>
      </c>
      <c r="H153" s="10" t="s">
        <v>344</v>
      </c>
      <c r="I153" s="99">
        <v>1</v>
      </c>
      <c r="J153" s="99">
        <v>2</v>
      </c>
      <c r="K153" s="99">
        <v>0</v>
      </c>
      <c r="L153" t="str">
        <f t="shared" si="2"/>
        <v>('076', 'NED', 1, 2, 0),</v>
      </c>
      <c r="M153" t="s">
        <v>345</v>
      </c>
    </row>
    <row r="154" spans="7:13">
      <c r="G154" s="10" t="s">
        <v>231</v>
      </c>
      <c r="H154" s="10" t="s">
        <v>330</v>
      </c>
      <c r="I154" s="99">
        <v>1</v>
      </c>
      <c r="J154" s="99">
        <v>3</v>
      </c>
      <c r="K154" s="99">
        <v>-1</v>
      </c>
      <c r="L154" t="str">
        <f t="shared" si="2"/>
        <v>('076', 'MAR', 1, 3, -1),</v>
      </c>
      <c r="M154" t="s">
        <v>331</v>
      </c>
    </row>
    <row r="155" spans="7:13">
      <c r="G155" s="10" t="s">
        <v>233</v>
      </c>
      <c r="H155" s="10" t="s">
        <v>348</v>
      </c>
      <c r="I155" s="99">
        <v>1</v>
      </c>
      <c r="J155" s="99" t="s">
        <v>297</v>
      </c>
      <c r="K155" s="99">
        <v>0</v>
      </c>
      <c r="L155" t="str">
        <f t="shared" si="2"/>
        <v>('077', 'CIV', 1, NULL, 0),</v>
      </c>
      <c r="M155" t="s">
        <v>349</v>
      </c>
    </row>
    <row r="156" spans="7:13">
      <c r="G156" s="10" t="s">
        <v>233</v>
      </c>
      <c r="H156" s="10" t="s">
        <v>378</v>
      </c>
      <c r="I156" s="99">
        <v>2</v>
      </c>
      <c r="J156" s="99" t="s">
        <v>297</v>
      </c>
      <c r="K156" s="99">
        <v>-1</v>
      </c>
      <c r="L156" t="str">
        <f t="shared" si="2"/>
        <v>('077', 'NOR', 2, NULL, -1),</v>
      </c>
      <c r="M156" t="s">
        <v>379</v>
      </c>
    </row>
    <row r="157" spans="7:13">
      <c r="G157" s="10" t="s">
        <v>235</v>
      </c>
      <c r="H157" s="10" t="s">
        <v>372</v>
      </c>
      <c r="I157" s="99">
        <v>3</v>
      </c>
      <c r="J157" s="99" t="s">
        <v>297</v>
      </c>
      <c r="K157" s="99">
        <v>0</v>
      </c>
      <c r="L157" t="str">
        <f t="shared" si="2"/>
        <v>('078', 'FRA', 3, NULL, 0),</v>
      </c>
      <c r="M157" t="s">
        <v>373</v>
      </c>
    </row>
    <row r="158" spans="7:13">
      <c r="G158" s="10" t="s">
        <v>235</v>
      </c>
      <c r="H158" s="10" t="s">
        <v>352</v>
      </c>
      <c r="I158" s="99">
        <v>0</v>
      </c>
      <c r="J158" s="99" t="s">
        <v>297</v>
      </c>
      <c r="K158" s="99">
        <v>0</v>
      </c>
      <c r="L158" t="str">
        <f t="shared" si="2"/>
        <v>('078', 'SWE', 0, NULL, 0),</v>
      </c>
      <c r="M158" t="s">
        <v>353</v>
      </c>
    </row>
    <row r="159" spans="7:13">
      <c r="G159" s="10" t="s">
        <v>237</v>
      </c>
      <c r="H159" s="10" t="s">
        <v>296</v>
      </c>
      <c r="I159" s="99">
        <v>2</v>
      </c>
      <c r="J159" s="99" t="s">
        <v>297</v>
      </c>
      <c r="K159" s="99">
        <v>0</v>
      </c>
      <c r="L159" t="str">
        <f t="shared" si="2"/>
        <v>('079', 'MEX', 2, NULL, 0),</v>
      </c>
      <c r="M159" t="s">
        <v>298</v>
      </c>
    </row>
    <row r="160" spans="7:13">
      <c r="G160" s="10" t="s">
        <v>237</v>
      </c>
      <c r="H160" s="10" t="s">
        <v>350</v>
      </c>
      <c r="I160" s="99">
        <v>0</v>
      </c>
      <c r="J160" s="99" t="s">
        <v>297</v>
      </c>
      <c r="K160" s="99">
        <v>-7</v>
      </c>
      <c r="L160" t="str">
        <f t="shared" si="2"/>
        <v>('079', 'ECU', 0, NULL, -7),</v>
      </c>
      <c r="M160" t="s">
        <v>351</v>
      </c>
    </row>
    <row r="161" spans="7:13">
      <c r="G161" s="10" t="s">
        <v>239</v>
      </c>
      <c r="H161" s="10" t="s">
        <v>392</v>
      </c>
      <c r="I161" s="99">
        <v>2</v>
      </c>
      <c r="J161" s="99" t="s">
        <v>297</v>
      </c>
      <c r="K161" s="99">
        <v>-1</v>
      </c>
      <c r="L161" t="str">
        <f t="shared" si="2"/>
        <v>('080', 'ENG', 2, NULL, -1),</v>
      </c>
      <c r="M161" t="s">
        <v>393</v>
      </c>
    </row>
    <row r="162" spans="7:13">
      <c r="G162" s="10" t="s">
        <v>239</v>
      </c>
      <c r="H162" s="10" t="s">
        <v>390</v>
      </c>
      <c r="I162" s="99">
        <v>1</v>
      </c>
      <c r="J162" s="99" t="s">
        <v>297</v>
      </c>
      <c r="K162" s="99">
        <v>-1</v>
      </c>
      <c r="L162" t="str">
        <f t="shared" si="2"/>
        <v>('080', 'COD', 1, NULL, -1),</v>
      </c>
      <c r="M162" t="s">
        <v>391</v>
      </c>
    </row>
    <row r="163" spans="7:13">
      <c r="G163" s="10" t="s">
        <v>241</v>
      </c>
      <c r="H163" s="10" t="s">
        <v>360</v>
      </c>
      <c r="I163" s="99">
        <v>3</v>
      </c>
      <c r="J163" s="99" t="s">
        <v>297</v>
      </c>
      <c r="K163" s="99">
        <v>-2</v>
      </c>
      <c r="L163" t="str">
        <f t="shared" si="2"/>
        <v>('081', 'BEL', 3, NULL, -2),</v>
      </c>
      <c r="M163" t="s">
        <v>361</v>
      </c>
    </row>
    <row r="164" spans="7:13">
      <c r="G164" s="10" t="s">
        <v>241</v>
      </c>
      <c r="H164" s="10" t="s">
        <v>374</v>
      </c>
      <c r="I164" s="99">
        <v>2</v>
      </c>
      <c r="J164" s="99" t="s">
        <v>297</v>
      </c>
      <c r="K164" s="99">
        <v>-1</v>
      </c>
      <c r="L164" t="str">
        <f t="shared" si="2"/>
        <v>('081', 'SEN', 2, NULL, -1),</v>
      </c>
      <c r="M164" t="s">
        <v>375</v>
      </c>
    </row>
    <row r="165" spans="7:13">
      <c r="G165" s="10" t="s">
        <v>243</v>
      </c>
      <c r="H165" s="10" t="s">
        <v>316</v>
      </c>
      <c r="I165" s="99">
        <v>2</v>
      </c>
      <c r="J165" s="99" t="s">
        <v>297</v>
      </c>
      <c r="K165" s="99">
        <v>-4</v>
      </c>
      <c r="L165" t="str">
        <f t="shared" si="2"/>
        <v>('082', 'USA', 2, NULL, -4),</v>
      </c>
      <c r="M165" t="s">
        <v>317</v>
      </c>
    </row>
    <row r="166" spans="7:13">
      <c r="G166" s="10" t="s">
        <v>243</v>
      </c>
      <c r="H166" s="10" t="s">
        <v>312</v>
      </c>
      <c r="I166" s="99">
        <v>0</v>
      </c>
      <c r="J166" s="99" t="s">
        <v>297</v>
      </c>
      <c r="K166" s="99">
        <v>-2</v>
      </c>
      <c r="L166" t="str">
        <f t="shared" si="2"/>
        <v>('082', 'BIH', 0, NULL, -2),</v>
      </c>
      <c r="M166" t="s">
        <v>313</v>
      </c>
    </row>
    <row r="167" spans="7:13">
      <c r="G167" s="10" t="s">
        <v>245</v>
      </c>
      <c r="H167" s="10" t="s">
        <v>356</v>
      </c>
      <c r="I167" s="99">
        <v>3</v>
      </c>
      <c r="J167" s="99" t="s">
        <v>297</v>
      </c>
      <c r="K167" s="99">
        <v>0</v>
      </c>
      <c r="L167" t="str">
        <f t="shared" si="2"/>
        <v>('083', 'ESP', 3, NULL, 0),</v>
      </c>
      <c r="M167" t="s">
        <v>357</v>
      </c>
    </row>
    <row r="168" spans="7:13">
      <c r="G168" s="10" t="s">
        <v>245</v>
      </c>
      <c r="H168" s="10" t="s">
        <v>384</v>
      </c>
      <c r="I168" s="99">
        <v>0</v>
      </c>
      <c r="J168" s="99" t="s">
        <v>297</v>
      </c>
      <c r="K168" s="99">
        <v>-1</v>
      </c>
      <c r="L168" t="str">
        <f t="shared" si="2"/>
        <v>('083', 'AUT', 0, NULL, -1),</v>
      </c>
      <c r="M168" t="s">
        <v>385</v>
      </c>
    </row>
    <row r="169" spans="7:13">
      <c r="G169" s="10" t="s">
        <v>247</v>
      </c>
      <c r="H169" s="10" t="s">
        <v>388</v>
      </c>
      <c r="I169" s="99">
        <v>2</v>
      </c>
      <c r="J169" s="99" t="s">
        <v>297</v>
      </c>
      <c r="K169" s="99">
        <v>-1</v>
      </c>
      <c r="L169" t="str">
        <f t="shared" si="2"/>
        <v>('084', 'POR', 2, NULL, -1),</v>
      </c>
      <c r="M169" t="s">
        <v>389</v>
      </c>
    </row>
    <row r="170" spans="7:13">
      <c r="G170" s="10" t="s">
        <v>247</v>
      </c>
      <c r="H170" s="10" t="s">
        <v>394</v>
      </c>
      <c r="I170" s="99">
        <v>1</v>
      </c>
      <c r="J170" s="99" t="s">
        <v>297</v>
      </c>
      <c r="K170" s="99">
        <v>-2</v>
      </c>
      <c r="L170" t="str">
        <f t="shared" si="2"/>
        <v>('084', 'CRO', 1, NULL, -2),</v>
      </c>
      <c r="M170" t="s">
        <v>395</v>
      </c>
    </row>
    <row r="171" spans="7:13">
      <c r="G171" s="10" t="s">
        <v>249</v>
      </c>
      <c r="H171" s="10" t="s">
        <v>326</v>
      </c>
      <c r="I171" s="99">
        <v>2</v>
      </c>
      <c r="J171" s="99" t="s">
        <v>297</v>
      </c>
      <c r="K171" s="99">
        <v>0</v>
      </c>
      <c r="L171" t="str">
        <f t="shared" si="2"/>
        <v>('085', 'SUI', 2, NULL, 0),</v>
      </c>
      <c r="M171" t="s">
        <v>327</v>
      </c>
    </row>
    <row r="172" spans="7:13">
      <c r="G172" s="10" t="s">
        <v>249</v>
      </c>
      <c r="H172" s="10" t="s">
        <v>382</v>
      </c>
      <c r="I172" s="99">
        <v>0</v>
      </c>
      <c r="J172" s="99" t="s">
        <v>297</v>
      </c>
      <c r="K172" s="99">
        <v>-2</v>
      </c>
      <c r="L172" t="str">
        <f t="shared" si="2"/>
        <v>('085', 'ALG', 0, NULL, -2),</v>
      </c>
      <c r="M172" t="s">
        <v>383</v>
      </c>
    </row>
    <row r="173" spans="7:13">
      <c r="G173" s="10" t="s">
        <v>251</v>
      </c>
      <c r="H173" s="10" t="s">
        <v>336</v>
      </c>
      <c r="I173" s="99">
        <v>1</v>
      </c>
      <c r="J173" s="99">
        <v>2</v>
      </c>
      <c r="K173" s="99">
        <v>0</v>
      </c>
      <c r="L173" t="str">
        <f t="shared" si="2"/>
        <v>('086', 'AUS', 1, 2, 0),</v>
      </c>
      <c r="M173" t="s">
        <v>337</v>
      </c>
    </row>
    <row r="174" spans="7:13">
      <c r="G174" s="10" t="s">
        <v>251</v>
      </c>
      <c r="H174" s="10" t="s">
        <v>362</v>
      </c>
      <c r="I174" s="99">
        <v>1</v>
      </c>
      <c r="J174" s="99">
        <v>4</v>
      </c>
      <c r="K174" s="99">
        <v>-3</v>
      </c>
      <c r="L174" t="str">
        <f t="shared" si="2"/>
        <v>('086', 'EGY', 1, 4, -3),</v>
      </c>
      <c r="M174" t="s">
        <v>363</v>
      </c>
    </row>
    <row r="175" spans="7:13">
      <c r="G175" s="10" t="s">
        <v>253</v>
      </c>
      <c r="H175" s="10" t="s">
        <v>380</v>
      </c>
      <c r="I175" s="99">
        <v>3</v>
      </c>
      <c r="J175" s="99" t="s">
        <v>297</v>
      </c>
      <c r="K175" s="99">
        <v>-1</v>
      </c>
      <c r="L175" t="str">
        <f t="shared" si="2"/>
        <v>('087', 'ARG', 3, NULL, -1),</v>
      </c>
      <c r="M175" t="s">
        <v>381</v>
      </c>
    </row>
    <row r="176" spans="7:13">
      <c r="G176" s="10" t="s">
        <v>253</v>
      </c>
      <c r="H176" s="10" t="s">
        <v>358</v>
      </c>
      <c r="I176" s="99">
        <v>2</v>
      </c>
      <c r="J176" s="99" t="s">
        <v>297</v>
      </c>
      <c r="K176" s="99">
        <v>-1</v>
      </c>
      <c r="L176" t="str">
        <f t="shared" si="2"/>
        <v>('087', 'CPV', 2, NULL, -1),</v>
      </c>
      <c r="M176" t="s">
        <v>359</v>
      </c>
    </row>
    <row r="177" spans="7:13">
      <c r="G177" s="10" t="s">
        <v>255</v>
      </c>
      <c r="H177" s="10" t="s">
        <v>402</v>
      </c>
      <c r="I177" s="99">
        <v>1</v>
      </c>
      <c r="J177" s="99" t="s">
        <v>297</v>
      </c>
      <c r="K177" s="99">
        <v>-2</v>
      </c>
      <c r="L177" t="str">
        <f t="shared" si="2"/>
        <v>('088', 'COL', 1, NULL, -2),</v>
      </c>
      <c r="M177" t="s">
        <v>403</v>
      </c>
    </row>
    <row r="178" spans="7:13">
      <c r="G178" s="10" t="s">
        <v>255</v>
      </c>
      <c r="H178" s="10" t="s">
        <v>396</v>
      </c>
      <c r="I178" s="99">
        <v>0</v>
      </c>
      <c r="J178" s="99" t="s">
        <v>297</v>
      </c>
      <c r="K178" s="99">
        <v>-3</v>
      </c>
      <c r="L178" t="str">
        <f t="shared" si="2"/>
        <v>('088', 'GHA', 0, NULL, -3),</v>
      </c>
      <c r="M178" t="s">
        <v>397</v>
      </c>
    </row>
    <row r="179" spans="7:13">
      <c r="G179" s="10" t="s">
        <v>257</v>
      </c>
      <c r="H179" s="10" t="s">
        <v>309</v>
      </c>
      <c r="I179" s="99">
        <v>0</v>
      </c>
      <c r="J179" s="99" t="s">
        <v>297</v>
      </c>
      <c r="K179" s="99">
        <v>-4</v>
      </c>
      <c r="L179" t="str">
        <f t="shared" si="2"/>
        <v>('089', 'CAN', 0, NULL, -4),</v>
      </c>
      <c r="M179" t="s">
        <v>310</v>
      </c>
    </row>
    <row r="180" spans="7:13">
      <c r="G180" s="10" t="s">
        <v>257</v>
      </c>
      <c r="H180" s="10" t="s">
        <v>330</v>
      </c>
      <c r="I180" s="99">
        <v>3</v>
      </c>
      <c r="J180" s="99" t="s">
        <v>297</v>
      </c>
      <c r="K180" s="99">
        <v>-4</v>
      </c>
      <c r="L180" t="str">
        <f t="shared" si="2"/>
        <v>('089', 'MAR', 3, NULL, -4),</v>
      </c>
      <c r="M180" t="s">
        <v>331</v>
      </c>
    </row>
    <row r="181" spans="7:13">
      <c r="G181" s="10" t="s">
        <v>259</v>
      </c>
      <c r="H181" s="10" t="s">
        <v>320</v>
      </c>
      <c r="I181" s="99">
        <v>0</v>
      </c>
      <c r="J181" s="99" t="s">
        <v>297</v>
      </c>
      <c r="K181" s="99">
        <v>-1</v>
      </c>
      <c r="L181" t="str">
        <f t="shared" si="2"/>
        <v>('090', 'PAR', 0, NULL, -1),</v>
      </c>
      <c r="M181" t="s">
        <v>321</v>
      </c>
    </row>
    <row r="182" spans="7:13">
      <c r="G182" s="10" t="s">
        <v>259</v>
      </c>
      <c r="H182" s="10" t="s">
        <v>372</v>
      </c>
      <c r="I182" s="99">
        <v>1</v>
      </c>
      <c r="J182" s="99" t="s">
        <v>297</v>
      </c>
      <c r="K182" s="99">
        <v>-3</v>
      </c>
      <c r="L182" t="str">
        <f t="shared" si="2"/>
        <v>('090', 'FRA', 1, NULL, -3),</v>
      </c>
      <c r="M182" t="s">
        <v>373</v>
      </c>
    </row>
    <row r="183" spans="7:13">
      <c r="G183" s="10" t="s">
        <v>261</v>
      </c>
      <c r="H183" s="10" t="s">
        <v>328</v>
      </c>
      <c r="I183" s="99">
        <v>1</v>
      </c>
      <c r="J183" s="99" t="s">
        <v>297</v>
      </c>
      <c r="K183" s="99">
        <v>-1</v>
      </c>
      <c r="L183" t="str">
        <f t="shared" si="2"/>
        <v>('091', 'BRA', 1, NULL, -1),</v>
      </c>
      <c r="M183" t="s">
        <v>329</v>
      </c>
    </row>
    <row r="184" spans="7:13">
      <c r="G184" s="10" t="s">
        <v>261</v>
      </c>
      <c r="H184" s="10" t="s">
        <v>378</v>
      </c>
      <c r="I184" s="99">
        <v>2</v>
      </c>
      <c r="J184" s="99" t="s">
        <v>297</v>
      </c>
      <c r="K184" s="99">
        <v>0</v>
      </c>
      <c r="L184" t="str">
        <f t="shared" si="2"/>
        <v>('091', 'NOR', 2, NULL, 0),</v>
      </c>
      <c r="M184" t="s">
        <v>379</v>
      </c>
    </row>
    <row r="185" spans="7:13">
      <c r="G185" s="10" t="s">
        <v>263</v>
      </c>
      <c r="H185" s="10" t="s">
        <v>296</v>
      </c>
      <c r="I185" s="99">
        <v>2</v>
      </c>
      <c r="J185" s="99" t="s">
        <v>297</v>
      </c>
      <c r="K185" s="99">
        <v>-2</v>
      </c>
      <c r="L185" t="str">
        <f t="shared" si="2"/>
        <v>('092', 'MEX', 2, NULL, -2),</v>
      </c>
      <c r="M185" t="s">
        <v>298</v>
      </c>
    </row>
    <row r="186" spans="7:13">
      <c r="G186" s="10" t="s">
        <v>263</v>
      </c>
      <c r="H186" s="10" t="s">
        <v>392</v>
      </c>
      <c r="I186" s="99">
        <v>3</v>
      </c>
      <c r="J186" s="99" t="s">
        <v>297</v>
      </c>
      <c r="K186" s="99">
        <v>-8</v>
      </c>
      <c r="L186" t="str">
        <f t="shared" si="2"/>
        <v>('092', 'ENG', 3, NULL, -8),</v>
      </c>
      <c r="M186" t="s">
        <v>393</v>
      </c>
    </row>
    <row r="187" spans="7:13">
      <c r="G187" s="10" t="s">
        <v>265</v>
      </c>
      <c r="H187" s="10" t="s">
        <v>388</v>
      </c>
      <c r="I187" s="99">
        <v>0</v>
      </c>
      <c r="J187" s="99" t="s">
        <v>297</v>
      </c>
      <c r="K187" s="99">
        <v>-2</v>
      </c>
      <c r="L187" t="str">
        <f t="shared" si="2"/>
        <v>('093', 'POR', 0, NULL, -2),</v>
      </c>
      <c r="M187" t="s">
        <v>389</v>
      </c>
    </row>
    <row r="188" spans="7:13">
      <c r="G188" s="10" t="s">
        <v>265</v>
      </c>
      <c r="H188" s="10" t="s">
        <v>356</v>
      </c>
      <c r="I188" s="99">
        <v>1</v>
      </c>
      <c r="J188" s="99" t="s">
        <v>297</v>
      </c>
      <c r="K188" s="99">
        <v>-1</v>
      </c>
      <c r="L188" t="str">
        <f t="shared" si="2"/>
        <v>('093', 'ESP', 1, NULL, -1),</v>
      </c>
      <c r="M188" t="s">
        <v>357</v>
      </c>
    </row>
    <row r="189" spans="7:13">
      <c r="G189" s="10" t="s">
        <v>267</v>
      </c>
      <c r="H189" s="10" t="s">
        <v>316</v>
      </c>
      <c r="I189" s="99">
        <v>1</v>
      </c>
      <c r="J189" s="99" t="s">
        <v>297</v>
      </c>
      <c r="K189" s="99">
        <v>-2</v>
      </c>
      <c r="L189" t="str">
        <f t="shared" si="2"/>
        <v>('094', 'USA', 1, NULL, -2),</v>
      </c>
      <c r="M189" t="s">
        <v>317</v>
      </c>
    </row>
    <row r="190" spans="7:13">
      <c r="G190" s="10" t="s">
        <v>267</v>
      </c>
      <c r="H190" s="10" t="s">
        <v>360</v>
      </c>
      <c r="I190" s="99">
        <v>4</v>
      </c>
      <c r="J190" s="99" t="s">
        <v>297</v>
      </c>
      <c r="K190" s="99">
        <v>0</v>
      </c>
      <c r="L190" t="str">
        <f t="shared" si="2"/>
        <v>('094', 'BEL', 4, NULL, 0),</v>
      </c>
      <c r="M190" t="s">
        <v>361</v>
      </c>
    </row>
    <row r="191" spans="7:13">
      <c r="G191" s="10" t="s">
        <v>269</v>
      </c>
      <c r="H191" s="10" t="s">
        <v>380</v>
      </c>
      <c r="I191" s="99">
        <v>3</v>
      </c>
      <c r="J191" s="99" t="s">
        <v>297</v>
      </c>
      <c r="K191" s="99">
        <v>0</v>
      </c>
      <c r="L191" t="str">
        <f t="shared" si="2"/>
        <v>('095', 'ARG', 3, NULL, 0),</v>
      </c>
      <c r="M191" t="s">
        <v>381</v>
      </c>
    </row>
    <row r="192" spans="7:13">
      <c r="G192" s="10" t="s">
        <v>269</v>
      </c>
      <c r="H192" s="10" t="s">
        <v>362</v>
      </c>
      <c r="I192" s="99">
        <v>2</v>
      </c>
      <c r="J192" s="99" t="s">
        <v>297</v>
      </c>
      <c r="K192" s="99">
        <v>-9</v>
      </c>
      <c r="L192" t="str">
        <f t="shared" si="2"/>
        <v>('095', 'EGY', 2, NULL, -9),</v>
      </c>
      <c r="M192" t="s">
        <v>363</v>
      </c>
    </row>
    <row r="193" spans="7:13">
      <c r="G193" s="10" t="s">
        <v>271</v>
      </c>
      <c r="H193" s="10" t="s">
        <v>326</v>
      </c>
      <c r="I193" s="99">
        <v>0</v>
      </c>
      <c r="J193" s="99">
        <v>4</v>
      </c>
      <c r="K193" s="99">
        <v>-3</v>
      </c>
      <c r="L193" t="str">
        <f t="shared" si="2"/>
        <v>('096', 'SUI', 0, 4, -3),</v>
      </c>
      <c r="M193" t="s">
        <v>327</v>
      </c>
    </row>
    <row r="194" spans="7:13">
      <c r="G194" s="10" t="s">
        <v>271</v>
      </c>
      <c r="H194" s="10" t="s">
        <v>402</v>
      </c>
      <c r="I194" s="99">
        <v>0</v>
      </c>
      <c r="J194" s="99">
        <v>3</v>
      </c>
      <c r="K194" s="99">
        <v>-3</v>
      </c>
      <c r="L194" t="str">
        <f t="shared" si="2"/>
        <v>('096', 'COL', 0, 3, -3),</v>
      </c>
      <c r="M194" t="s">
        <v>403</v>
      </c>
    </row>
    <row r="195" spans="7:13">
      <c r="G195" s="10" t="s">
        <v>273</v>
      </c>
      <c r="H195" s="10" t="s">
        <v>372</v>
      </c>
      <c r="I195" s="99">
        <v>2</v>
      </c>
      <c r="J195" s="100" t="s">
        <v>297</v>
      </c>
      <c r="K195" s="99">
        <v>0</v>
      </c>
      <c r="L195" t="str">
        <f t="shared" ref="L195:L209" si="3">CHAR(9)&amp;"('"&amp;G195&amp;"', '"&amp;H195&amp;"', "&amp;I195&amp;", "&amp;J195&amp;", "&amp;K195&amp;"),"</f>
        <v>	('097', 'FRA', 2, NULL, 0),</v>
      </c>
      <c r="M195" s="101" t="s">
        <v>373</v>
      </c>
    </row>
    <row r="196" spans="7:13">
      <c r="G196" s="10" t="s">
        <v>273</v>
      </c>
      <c r="H196" s="10" t="s">
        <v>330</v>
      </c>
      <c r="I196" s="99">
        <v>0</v>
      </c>
      <c r="J196" s="100" t="s">
        <v>297</v>
      </c>
      <c r="K196" s="99">
        <v>-1</v>
      </c>
      <c r="L196" t="str">
        <f t="shared" si="3"/>
        <v>	('097', 'MAR', 0, NULL, -1),</v>
      </c>
      <c r="M196" s="101" t="s">
        <v>331</v>
      </c>
    </row>
    <row r="197" spans="7:13">
      <c r="G197" s="10" t="s">
        <v>275</v>
      </c>
      <c r="H197" s="10" t="s">
        <v>356</v>
      </c>
      <c r="I197" s="99">
        <v>2</v>
      </c>
      <c r="J197" s="100" t="s">
        <v>297</v>
      </c>
      <c r="K197" s="99">
        <v>-2</v>
      </c>
      <c r="L197" t="str">
        <f t="shared" si="3"/>
        <v>	('098', 'ESP', 2, NULL, -2),</v>
      </c>
      <c r="M197" t="s">
        <v>357</v>
      </c>
    </row>
    <row r="198" spans="7:13">
      <c r="G198" s="10" t="s">
        <v>275</v>
      </c>
      <c r="H198" s="10" t="s">
        <v>360</v>
      </c>
      <c r="I198" s="99">
        <v>1</v>
      </c>
      <c r="J198" s="100" t="s">
        <v>297</v>
      </c>
      <c r="K198" s="99">
        <v>-2</v>
      </c>
      <c r="L198" t="str">
        <f t="shared" si="3"/>
        <v>	('098', 'BEL', 1, NULL, -2),</v>
      </c>
      <c r="M198" t="s">
        <v>361</v>
      </c>
    </row>
    <row r="199" spans="7:13">
      <c r="G199" s="10" t="s">
        <v>277</v>
      </c>
      <c r="H199" s="10" t="s">
        <v>378</v>
      </c>
      <c r="I199" s="99">
        <v>1</v>
      </c>
      <c r="J199" s="100" t="s">
        <v>297</v>
      </c>
      <c r="K199" s="99">
        <v>-1</v>
      </c>
      <c r="L199" t="str">
        <f t="shared" si="3"/>
        <v>	('099', 'NOR', 1, NULL, -1),</v>
      </c>
      <c r="M199" t="s">
        <v>379</v>
      </c>
    </row>
    <row r="200" spans="7:13">
      <c r="G200" s="10" t="s">
        <v>277</v>
      </c>
      <c r="H200" s="10" t="s">
        <v>392</v>
      </c>
      <c r="I200" s="99">
        <v>2</v>
      </c>
      <c r="J200" s="100" t="s">
        <v>297</v>
      </c>
      <c r="K200" s="99">
        <v>0</v>
      </c>
      <c r="L200" t="str">
        <f t="shared" si="3"/>
        <v>	('099', 'ENG', 2, NULL, 0),</v>
      </c>
      <c r="M200" t="s">
        <v>393</v>
      </c>
    </row>
    <row r="201" spans="7:13">
      <c r="G201" s="10" t="s">
        <v>279</v>
      </c>
      <c r="H201" s="10" t="s">
        <v>380</v>
      </c>
      <c r="I201" s="99">
        <v>3</v>
      </c>
      <c r="J201" s="100" t="s">
        <v>297</v>
      </c>
      <c r="K201" s="99">
        <v>-3</v>
      </c>
      <c r="L201" t="str">
        <f t="shared" si="3"/>
        <v>	('100', 'ARG', 3, NULL, -3),</v>
      </c>
      <c r="M201" t="s">
        <v>381</v>
      </c>
    </row>
    <row r="202" spans="7:13">
      <c r="G202" s="10" t="s">
        <v>279</v>
      </c>
      <c r="H202" s="10" t="s">
        <v>326</v>
      </c>
      <c r="I202" s="99">
        <v>1</v>
      </c>
      <c r="J202" s="100" t="s">
        <v>297</v>
      </c>
      <c r="K202" s="99">
        <v>-3</v>
      </c>
      <c r="L202" t="str">
        <f t="shared" si="3"/>
        <v>	('100', 'SUI', 1, NULL, -3),</v>
      </c>
      <c r="M202" t="s">
        <v>327</v>
      </c>
    </row>
    <row r="203" spans="7:13">
      <c r="G203" s="10" t="s">
        <v>281</v>
      </c>
      <c r="H203" s="10" t="s">
        <v>372</v>
      </c>
      <c r="I203" s="99">
        <v>0</v>
      </c>
      <c r="J203" s="100" t="s">
        <v>297</v>
      </c>
      <c r="K203" s="99">
        <v>-2</v>
      </c>
      <c r="L203" t="str">
        <f t="shared" si="3"/>
        <v>	('101', 'FRA', 0, NULL, -2),</v>
      </c>
      <c r="M203" t="s">
        <v>373</v>
      </c>
    </row>
    <row r="204" spans="7:13">
      <c r="G204" s="10" t="s">
        <v>281</v>
      </c>
      <c r="H204" s="10" t="s">
        <v>356</v>
      </c>
      <c r="I204" s="99">
        <v>2</v>
      </c>
      <c r="J204" s="100" t="s">
        <v>297</v>
      </c>
      <c r="K204" s="99">
        <v>-1</v>
      </c>
      <c r="L204" t="str">
        <f t="shared" si="3"/>
        <v>	('101', 'ESP', 2, NULL, -1),</v>
      </c>
      <c r="M204" t="s">
        <v>357</v>
      </c>
    </row>
    <row r="205" spans="7:13">
      <c r="G205" s="10" t="s">
        <v>283</v>
      </c>
      <c r="H205" s="10" t="s">
        <v>392</v>
      </c>
      <c r="I205" s="99">
        <v>1</v>
      </c>
      <c r="J205" s="100" t="s">
        <v>297</v>
      </c>
      <c r="K205" s="99">
        <v>-1</v>
      </c>
      <c r="L205" t="str">
        <f t="shared" si="3"/>
        <v>	('102', 'ENG', 1, NULL, -1),</v>
      </c>
      <c r="M205" t="s">
        <v>393</v>
      </c>
    </row>
    <row r="206" spans="7:13">
      <c r="G206" s="10" t="s">
        <v>283</v>
      </c>
      <c r="H206" s="10" t="s">
        <v>380</v>
      </c>
      <c r="I206" s="99">
        <v>2</v>
      </c>
      <c r="J206" s="100" t="s">
        <v>297</v>
      </c>
      <c r="K206" s="99">
        <v>-3</v>
      </c>
      <c r="L206" t="str">
        <f t="shared" si="3"/>
        <v>	('102', 'ARG', 2, NULL, -3),</v>
      </c>
      <c r="M206" t="s">
        <v>381</v>
      </c>
    </row>
    <row r="207" spans="7:13">
      <c r="G207" s="10" t="s">
        <v>285</v>
      </c>
      <c r="H207" s="10" t="s">
        <v>372</v>
      </c>
      <c r="I207" s="99"/>
      <c r="J207" s="99"/>
      <c r="K207" s="99"/>
      <c r="L207" t="str">
        <f t="shared" si="3"/>
        <v>	('103', 'FRA', , , ),</v>
      </c>
      <c r="M207" t="s">
        <v>373</v>
      </c>
    </row>
    <row r="208" spans="7:13">
      <c r="G208" s="10" t="s">
        <v>285</v>
      </c>
      <c r="H208" s="10" t="s">
        <v>392</v>
      </c>
      <c r="I208" s="99"/>
      <c r="J208" s="99"/>
      <c r="K208" s="99"/>
      <c r="L208" t="str">
        <f t="shared" si="3"/>
        <v>	('103', 'ENG', , , ),</v>
      </c>
    </row>
    <row r="209" spans="7:13">
      <c r="G209" s="10" t="s">
        <v>287</v>
      </c>
      <c r="H209" s="10" t="s">
        <v>356</v>
      </c>
      <c r="I209" s="99"/>
      <c r="J209" s="99"/>
      <c r="K209" s="99"/>
      <c r="L209" t="str">
        <f t="shared" si="3"/>
        <v>	('104', 'ESP', , , ),</v>
      </c>
      <c r="M209" t="s">
        <v>357</v>
      </c>
    </row>
    <row r="210" spans="7:13">
      <c r="G210" s="10" t="s">
        <v>287</v>
      </c>
      <c r="H210" s="10" t="s">
        <v>380</v>
      </c>
      <c r="I210" s="99"/>
      <c r="J210" s="99"/>
      <c r="K210" s="99"/>
      <c r="L210" t="str">
        <f>CHAR(9)&amp;"('"&amp;G210&amp;"', '"&amp;H210&amp;"', "&amp;I210&amp;", "&amp;J210&amp;", "&amp;K210&amp;")"</f>
        <v>	('104', 'ARG', , , )</v>
      </c>
    </row>
    <row r="211" spans="7:13">
      <c r="L211" t="s">
        <v>289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1" t="s">
        <v>46</v>
      </c>
      <c r="C2" s="1"/>
      <c r="D2" s="1"/>
      <c r="E2" s="2" t="s">
        <v>47</v>
      </c>
      <c r="G2" s="96" t="s">
        <v>404</v>
      </c>
      <c r="H2" s="96" t="s">
        <v>405</v>
      </c>
      <c r="I2" t="s">
        <v>406</v>
      </c>
    </row>
    <row r="3" spans="2:9">
      <c r="B3" s="3" t="s">
        <v>30</v>
      </c>
      <c r="C3" s="3"/>
      <c r="D3" s="3"/>
      <c r="E3" s="4" t="s">
        <v>52</v>
      </c>
      <c r="G3" s="31" t="s">
        <v>407</v>
      </c>
      <c r="H3" s="31" t="s">
        <v>408</v>
      </c>
      <c r="I3" t="str">
        <f t="shared" ref="I3:I13" si="0">CHAR(9)&amp;"('"&amp;G3&amp;"', '"&amp;H3&amp;"'),"</f>
        <v>	('01', 'A'),</v>
      </c>
    </row>
    <row r="4" spans="2:9">
      <c r="B4" s="1" t="s">
        <v>48</v>
      </c>
      <c r="C4" s="1"/>
      <c r="D4" s="1"/>
      <c r="E4" s="1"/>
      <c r="G4" s="31" t="s">
        <v>409</v>
      </c>
      <c r="H4" s="31" t="s">
        <v>410</v>
      </c>
      <c r="I4" t="str">
        <f t="shared" si="0"/>
        <v>	('02', 'B'),</v>
      </c>
    </row>
    <row r="5" spans="2:9">
      <c r="B5" s="3" t="s">
        <v>53</v>
      </c>
      <c r="C5" s="3"/>
      <c r="D5" s="3"/>
      <c r="E5" s="3"/>
      <c r="G5" s="31" t="s">
        <v>411</v>
      </c>
      <c r="H5" s="31" t="s">
        <v>412</v>
      </c>
      <c r="I5" t="str">
        <f t="shared" si="0"/>
        <v>	('03', 'C'),</v>
      </c>
    </row>
    <row r="6" spans="2:9">
      <c r="G6" s="31" t="s">
        <v>413</v>
      </c>
      <c r="H6" s="31" t="s">
        <v>414</v>
      </c>
      <c r="I6" t="str">
        <f t="shared" si="0"/>
        <v>	('04', 'D'),</v>
      </c>
    </row>
    <row r="7" spans="2:9">
      <c r="B7" s="5" t="s">
        <v>79</v>
      </c>
      <c r="C7" s="5" t="s">
        <v>80</v>
      </c>
      <c r="D7" s="5" t="s">
        <v>81</v>
      </c>
      <c r="E7" s="5" t="s">
        <v>48</v>
      </c>
      <c r="G7" s="31" t="s">
        <v>415</v>
      </c>
      <c r="H7" s="31" t="s">
        <v>416</v>
      </c>
      <c r="I7" t="str">
        <f t="shared" si="0"/>
        <v>	('05', 'E'),</v>
      </c>
    </row>
    <row r="8" spans="2:9">
      <c r="B8" s="35" t="s">
        <v>404</v>
      </c>
      <c r="C8" s="4" t="s">
        <v>85</v>
      </c>
      <c r="D8" s="4" t="s">
        <v>86</v>
      </c>
      <c r="E8" s="35" t="s">
        <v>417</v>
      </c>
      <c r="G8" s="31" t="s">
        <v>418</v>
      </c>
      <c r="H8" s="31" t="s">
        <v>419</v>
      </c>
      <c r="I8" t="str">
        <f t="shared" si="0"/>
        <v>	('06', 'F'),</v>
      </c>
    </row>
    <row r="9" spans="2:9">
      <c r="B9" s="35" t="s">
        <v>405</v>
      </c>
      <c r="C9" s="4"/>
      <c r="D9" s="4" t="s">
        <v>86</v>
      </c>
      <c r="E9" s="35" t="s">
        <v>420</v>
      </c>
      <c r="G9" s="31" t="s">
        <v>421</v>
      </c>
      <c r="H9" s="31" t="s">
        <v>422</v>
      </c>
      <c r="I9" t="str">
        <f t="shared" si="0"/>
        <v>	('07', 'G'),</v>
      </c>
    </row>
    <row r="10" spans="2:9">
      <c r="B10" s="35"/>
      <c r="C10" s="4"/>
      <c r="D10" s="4"/>
      <c r="E10" s="35"/>
      <c r="G10" s="31" t="s">
        <v>423</v>
      </c>
      <c r="H10" s="31" t="s">
        <v>424</v>
      </c>
      <c r="I10" t="str">
        <f t="shared" si="0"/>
        <v>	('08', 'H'),</v>
      </c>
    </row>
    <row r="11" spans="2:9">
      <c r="B11" s="35"/>
      <c r="C11" s="4"/>
      <c r="D11" s="4"/>
      <c r="E11" s="35"/>
      <c r="G11" s="31" t="s">
        <v>425</v>
      </c>
      <c r="H11" s="31" t="s">
        <v>426</v>
      </c>
      <c r="I11" t="str">
        <f t="shared" si="0"/>
        <v>	('09', 'I'),</v>
      </c>
    </row>
    <row r="12" spans="2:9">
      <c r="B12" s="35"/>
      <c r="C12" s="4"/>
      <c r="D12" s="4"/>
      <c r="E12" s="35"/>
      <c r="G12" s="31" t="s">
        <v>427</v>
      </c>
      <c r="H12" s="31" t="s">
        <v>428</v>
      </c>
      <c r="I12" t="str">
        <f t="shared" si="0"/>
        <v>	('10', 'J'),</v>
      </c>
    </row>
    <row r="13" spans="2:9">
      <c r="G13" s="31" t="s">
        <v>429</v>
      </c>
      <c r="H13" s="31" t="s">
        <v>430</v>
      </c>
      <c r="I13" t="str">
        <f t="shared" si="0"/>
        <v>	('11', 'K'),</v>
      </c>
    </row>
    <row r="14" spans="2:9">
      <c r="G14" s="31" t="s">
        <v>431</v>
      </c>
      <c r="H14" s="31" t="s">
        <v>432</v>
      </c>
      <c r="I14" t="str">
        <f>CHAR(9)&amp;"('"&amp;G14&amp;"', '"&amp;H14&amp;"')"</f>
        <v>	('12', 'L')</v>
      </c>
    </row>
    <row r="15" spans="2:9">
      <c r="I15" t="s">
        <v>289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1" t="s">
        <v>46</v>
      </c>
      <c r="C2" s="1"/>
      <c r="D2" s="1"/>
      <c r="E2" s="2" t="s">
        <v>47</v>
      </c>
      <c r="G2" s="96" t="s">
        <v>290</v>
      </c>
      <c r="H2" s="96" t="s">
        <v>433</v>
      </c>
      <c r="I2" s="96" t="s">
        <v>404</v>
      </c>
      <c r="J2" t="s">
        <v>434</v>
      </c>
    </row>
    <row r="3" spans="2:10">
      <c r="B3" s="3" t="s">
        <v>31</v>
      </c>
      <c r="C3" s="3"/>
      <c r="D3" s="3"/>
      <c r="E3" s="4" t="s">
        <v>52</v>
      </c>
      <c r="G3" s="31" t="s">
        <v>296</v>
      </c>
      <c r="H3" s="31" t="s">
        <v>298</v>
      </c>
      <c r="I3" s="31" t="s">
        <v>407</v>
      </c>
      <c r="J3" t="str">
        <f t="shared" ref="J3:J49" si="0">CHAR(9)&amp;"('"&amp;G3&amp;"', '"&amp;H3&amp;"', '"&amp;I3&amp;"'),"</f>
        <v>	('MEX', 'メキシコ', '01'),</v>
      </c>
    </row>
    <row r="4" spans="2:10">
      <c r="B4" s="1" t="s">
        <v>48</v>
      </c>
      <c r="C4" s="1"/>
      <c r="D4" s="1"/>
      <c r="E4" s="1"/>
      <c r="G4" s="31" t="s">
        <v>303</v>
      </c>
      <c r="H4" s="31" t="s">
        <v>304</v>
      </c>
      <c r="I4" s="31" t="s">
        <v>407</v>
      </c>
      <c r="J4" t="str">
        <f t="shared" si="0"/>
        <v>	('KOR', '大韓民国', '01'),</v>
      </c>
    </row>
    <row r="5" spans="2:10">
      <c r="B5" s="3" t="s">
        <v>54</v>
      </c>
      <c r="C5" s="3"/>
      <c r="D5" s="3"/>
      <c r="E5" s="3"/>
      <c r="G5" s="31" t="s">
        <v>306</v>
      </c>
      <c r="H5" s="31" t="s">
        <v>307</v>
      </c>
      <c r="I5" s="31" t="s">
        <v>407</v>
      </c>
      <c r="J5" t="str">
        <f t="shared" si="0"/>
        <v>	('CZE', 'チェコ共和国', '01'),</v>
      </c>
    </row>
    <row r="6" spans="2:10">
      <c r="G6" s="31" t="s">
        <v>300</v>
      </c>
      <c r="H6" s="31" t="s">
        <v>301</v>
      </c>
      <c r="I6" s="31" t="s">
        <v>407</v>
      </c>
      <c r="J6" t="str">
        <f t="shared" si="0"/>
        <v>	('RSA', '南アフリカ', '01'),</v>
      </c>
    </row>
    <row r="7" spans="2:10">
      <c r="B7" s="5" t="s">
        <v>79</v>
      </c>
      <c r="C7" s="5" t="s">
        <v>80</v>
      </c>
      <c r="D7" s="5" t="s">
        <v>81</v>
      </c>
      <c r="E7" s="5" t="s">
        <v>48</v>
      </c>
      <c r="G7" s="31" t="s">
        <v>309</v>
      </c>
      <c r="H7" s="31" t="s">
        <v>310</v>
      </c>
      <c r="I7" s="31" t="s">
        <v>409</v>
      </c>
      <c r="J7" t="str">
        <f t="shared" si="0"/>
        <v>	('CAN', 'カナダ', '02'),</v>
      </c>
    </row>
    <row r="8" spans="2:10">
      <c r="B8" s="35" t="s">
        <v>290</v>
      </c>
      <c r="C8" s="4" t="s">
        <v>85</v>
      </c>
      <c r="D8" s="4" t="s">
        <v>86</v>
      </c>
      <c r="E8" s="35" t="s">
        <v>315</v>
      </c>
      <c r="G8" s="31" t="s">
        <v>326</v>
      </c>
      <c r="H8" s="31" t="s">
        <v>327</v>
      </c>
      <c r="I8" s="31" t="s">
        <v>409</v>
      </c>
      <c r="J8" t="str">
        <f t="shared" si="0"/>
        <v>	('SUI', 'スイス', '02'),</v>
      </c>
    </row>
    <row r="9" spans="2:10">
      <c r="B9" s="35" t="s">
        <v>433</v>
      </c>
      <c r="C9" s="4"/>
      <c r="D9" s="4" t="s">
        <v>86</v>
      </c>
      <c r="E9" s="35" t="s">
        <v>435</v>
      </c>
      <c r="G9" s="31" t="s">
        <v>312</v>
      </c>
      <c r="H9" s="31" t="s">
        <v>313</v>
      </c>
      <c r="I9" s="31" t="s">
        <v>409</v>
      </c>
      <c r="J9" t="str">
        <f t="shared" si="0"/>
        <v>	('BIH', 'ボスニア・ヘルツェゴビナ', '02'),</v>
      </c>
    </row>
    <row r="10" spans="2:10">
      <c r="B10" s="35" t="s">
        <v>404</v>
      </c>
      <c r="C10" s="4"/>
      <c r="D10" s="4" t="s">
        <v>86</v>
      </c>
      <c r="E10" s="35" t="s">
        <v>417</v>
      </c>
      <c r="G10" s="31" t="s">
        <v>323</v>
      </c>
      <c r="H10" s="31" t="s">
        <v>324</v>
      </c>
      <c r="I10" s="31" t="s">
        <v>409</v>
      </c>
      <c r="J10" t="str">
        <f t="shared" si="0"/>
        <v>	('QAT', 'カタール', '02'),</v>
      </c>
    </row>
    <row r="11" spans="2:10">
      <c r="B11" s="35"/>
      <c r="C11" s="4"/>
      <c r="D11" s="4"/>
      <c r="E11" s="35"/>
      <c r="G11" s="31" t="s">
        <v>328</v>
      </c>
      <c r="H11" s="31" t="s">
        <v>329</v>
      </c>
      <c r="I11" s="31" t="s">
        <v>411</v>
      </c>
      <c r="J11" t="str">
        <f t="shared" si="0"/>
        <v>	('BRA', 'ブラジル', '03'),</v>
      </c>
    </row>
    <row r="12" spans="2:10">
      <c r="B12" s="35"/>
      <c r="C12" s="4"/>
      <c r="D12" s="4"/>
      <c r="E12" s="35"/>
      <c r="G12" s="31" t="s">
        <v>330</v>
      </c>
      <c r="H12" s="31" t="s">
        <v>331</v>
      </c>
      <c r="I12" s="31" t="s">
        <v>411</v>
      </c>
      <c r="J12" t="str">
        <f t="shared" si="0"/>
        <v>	('MAR', 'モロッコ', '03'),</v>
      </c>
    </row>
    <row r="13" spans="2:10">
      <c r="G13" s="31" t="s">
        <v>334</v>
      </c>
      <c r="H13" s="31" t="s">
        <v>335</v>
      </c>
      <c r="I13" s="31" t="s">
        <v>411</v>
      </c>
      <c r="J13" t="str">
        <f t="shared" si="0"/>
        <v>	('SCO', 'スコットランド', '03'),</v>
      </c>
    </row>
    <row r="14" spans="2:10">
      <c r="G14" s="31" t="s">
        <v>332</v>
      </c>
      <c r="H14" s="31" t="s">
        <v>333</v>
      </c>
      <c r="I14" s="31" t="s">
        <v>411</v>
      </c>
      <c r="J14" t="str">
        <f t="shared" si="0"/>
        <v>	('HAI', 'ハイチ', '03'),</v>
      </c>
    </row>
    <row r="15" spans="2:10">
      <c r="G15" s="31" t="s">
        <v>316</v>
      </c>
      <c r="H15" s="31" t="s">
        <v>317</v>
      </c>
      <c r="I15" s="31" t="s">
        <v>413</v>
      </c>
      <c r="J15" t="str">
        <f t="shared" si="0"/>
        <v>	('USA', 'アメリカ合衆国', '04'),</v>
      </c>
    </row>
    <row r="16" spans="2:10">
      <c r="G16" s="31" t="s">
        <v>336</v>
      </c>
      <c r="H16" s="31" t="s">
        <v>337</v>
      </c>
      <c r="I16" s="31" t="s">
        <v>413</v>
      </c>
      <c r="J16" t="str">
        <f t="shared" si="0"/>
        <v>	('AUS', 'オーストラリア', '04'),</v>
      </c>
    </row>
    <row r="17" spans="7:10">
      <c r="G17" s="31" t="s">
        <v>320</v>
      </c>
      <c r="H17" s="31" t="s">
        <v>321</v>
      </c>
      <c r="I17" s="31" t="s">
        <v>413</v>
      </c>
      <c r="J17" t="str">
        <f t="shared" si="0"/>
        <v>	('PAR', 'パラグアイ', '04'),</v>
      </c>
    </row>
    <row r="18" spans="7:10">
      <c r="G18" s="31" t="s">
        <v>338</v>
      </c>
      <c r="H18" s="31" t="s">
        <v>339</v>
      </c>
      <c r="I18" s="31" t="s">
        <v>413</v>
      </c>
      <c r="J18" t="str">
        <f t="shared" si="0"/>
        <v>	('TUR', 'トルコ', '04'),</v>
      </c>
    </row>
    <row r="19" spans="7:10">
      <c r="G19" s="31" t="s">
        <v>340</v>
      </c>
      <c r="H19" s="31" t="s">
        <v>341</v>
      </c>
      <c r="I19" s="31" t="s">
        <v>415</v>
      </c>
      <c r="J19" t="str">
        <f t="shared" si="0"/>
        <v>	('GER', 'ドイツ', '05'),</v>
      </c>
    </row>
    <row r="20" spans="7:10">
      <c r="G20" s="31" t="s">
        <v>348</v>
      </c>
      <c r="H20" s="31" t="s">
        <v>349</v>
      </c>
      <c r="I20" s="31" t="s">
        <v>415</v>
      </c>
      <c r="J20" t="str">
        <f t="shared" si="0"/>
        <v>	('CIV', 'コートジボワール', '05'),</v>
      </c>
    </row>
    <row r="21" spans="7:10">
      <c r="G21" s="31" t="s">
        <v>350</v>
      </c>
      <c r="H21" s="31" t="s">
        <v>351</v>
      </c>
      <c r="I21" s="31" t="s">
        <v>415</v>
      </c>
      <c r="J21" t="str">
        <f t="shared" si="0"/>
        <v>	('ECU', 'エクアドル', '05'),</v>
      </c>
    </row>
    <row r="22" spans="7:10">
      <c r="G22" s="31" t="s">
        <v>342</v>
      </c>
      <c r="H22" s="31" t="s">
        <v>343</v>
      </c>
      <c r="I22" s="31" t="s">
        <v>415</v>
      </c>
      <c r="J22" t="str">
        <f t="shared" si="0"/>
        <v>	('CUW', 'キュラソー', '05'),</v>
      </c>
    </row>
    <row r="23" spans="7:10">
      <c r="G23" s="31" t="s">
        <v>344</v>
      </c>
      <c r="H23" s="31" t="s">
        <v>345</v>
      </c>
      <c r="I23" s="31" t="s">
        <v>418</v>
      </c>
      <c r="J23" t="str">
        <f t="shared" si="0"/>
        <v>	('NED', 'オランダ', '06'),</v>
      </c>
    </row>
    <row r="24" spans="7:10">
      <c r="G24" s="31" t="s">
        <v>346</v>
      </c>
      <c r="H24" s="31" t="s">
        <v>347</v>
      </c>
      <c r="I24" s="31" t="s">
        <v>418</v>
      </c>
      <c r="J24" t="str">
        <f t="shared" si="0"/>
        <v>	('JPN', '日本', '06'),</v>
      </c>
    </row>
    <row r="25" spans="7:10">
      <c r="G25" s="31" t="s">
        <v>352</v>
      </c>
      <c r="H25" s="31" t="s">
        <v>353</v>
      </c>
      <c r="I25" s="31" t="s">
        <v>418</v>
      </c>
      <c r="J25" t="str">
        <f t="shared" si="0"/>
        <v>	('SWE', 'スウェーデン', '06'),</v>
      </c>
    </row>
    <row r="26" spans="7:10">
      <c r="G26" s="31" t="s">
        <v>354</v>
      </c>
      <c r="H26" s="31" t="s">
        <v>355</v>
      </c>
      <c r="I26" s="31" t="s">
        <v>418</v>
      </c>
      <c r="J26" t="str">
        <f t="shared" si="0"/>
        <v>	('TUN', 'チュニジア', '06'),</v>
      </c>
    </row>
    <row r="27" spans="7:10">
      <c r="G27" s="31" t="s">
        <v>362</v>
      </c>
      <c r="H27" s="31" t="s">
        <v>363</v>
      </c>
      <c r="I27" s="31" t="s">
        <v>421</v>
      </c>
      <c r="J27" t="str">
        <f t="shared" si="0"/>
        <v>	('EGY', 'エジプト', '07'),</v>
      </c>
    </row>
    <row r="28" spans="7:10">
      <c r="G28" s="31" t="s">
        <v>368</v>
      </c>
      <c r="H28" s="31" t="s">
        <v>369</v>
      </c>
      <c r="I28" s="31" t="s">
        <v>421</v>
      </c>
      <c r="J28" t="str">
        <f t="shared" si="0"/>
        <v>	('IRN', 'イラン', '07'),</v>
      </c>
    </row>
    <row r="29" spans="7:10">
      <c r="G29" s="31" t="s">
        <v>360</v>
      </c>
      <c r="H29" s="31" t="s">
        <v>361</v>
      </c>
      <c r="I29" s="31" t="s">
        <v>421</v>
      </c>
      <c r="J29" t="str">
        <f t="shared" si="0"/>
        <v>	('BEL', 'ベルギー', '07'),</v>
      </c>
    </row>
    <row r="30" spans="7:10">
      <c r="G30" s="31" t="s">
        <v>370</v>
      </c>
      <c r="H30" s="31" t="s">
        <v>371</v>
      </c>
      <c r="I30" s="31" t="s">
        <v>421</v>
      </c>
      <c r="J30" t="str">
        <f t="shared" si="0"/>
        <v>	('NZL', 'ニュージーランド', '07'),</v>
      </c>
    </row>
    <row r="31" spans="7:10">
      <c r="G31" s="31" t="s">
        <v>356</v>
      </c>
      <c r="H31" s="31" t="s">
        <v>357</v>
      </c>
      <c r="I31" s="31" t="s">
        <v>423</v>
      </c>
      <c r="J31" t="str">
        <f t="shared" si="0"/>
        <v>	('ESP', 'スペイン', '08'),</v>
      </c>
    </row>
    <row r="32" spans="7:10">
      <c r="G32" s="31" t="s">
        <v>366</v>
      </c>
      <c r="H32" s="31" t="s">
        <v>367</v>
      </c>
      <c r="I32" s="31" t="s">
        <v>423</v>
      </c>
      <c r="J32" t="str">
        <f t="shared" si="0"/>
        <v>	('URU', 'ウルグアイ', '08'),</v>
      </c>
    </row>
    <row r="33" spans="7:10">
      <c r="G33" s="31" t="s">
        <v>358</v>
      </c>
      <c r="H33" s="31" t="s">
        <v>359</v>
      </c>
      <c r="I33" s="31" t="s">
        <v>423</v>
      </c>
      <c r="J33" t="str">
        <f t="shared" si="0"/>
        <v>	('CPV', 'カーボベルデ', '08'),</v>
      </c>
    </row>
    <row r="34" spans="7:10">
      <c r="G34" s="31" t="s">
        <v>364</v>
      </c>
      <c r="H34" s="31" t="s">
        <v>365</v>
      </c>
      <c r="I34" s="31" t="s">
        <v>423</v>
      </c>
      <c r="J34" t="str">
        <f t="shared" si="0"/>
        <v>	('KSA', 'サウジアラビア', '08'),</v>
      </c>
    </row>
    <row r="35" spans="7:10">
      <c r="G35" s="31" t="s">
        <v>372</v>
      </c>
      <c r="H35" s="31" t="s">
        <v>373</v>
      </c>
      <c r="I35" s="31" t="s">
        <v>425</v>
      </c>
      <c r="J35" t="str">
        <f t="shared" si="0"/>
        <v>	('FRA', 'フランス', '09'),</v>
      </c>
    </row>
    <row r="36" spans="7:10">
      <c r="G36" s="31" t="s">
        <v>378</v>
      </c>
      <c r="H36" s="31" t="s">
        <v>379</v>
      </c>
      <c r="I36" s="31" t="s">
        <v>425</v>
      </c>
      <c r="J36" t="str">
        <f t="shared" si="0"/>
        <v>	('NOR', 'ノルウェー', '09'),</v>
      </c>
    </row>
    <row r="37" spans="7:10">
      <c r="G37" s="31" t="s">
        <v>374</v>
      </c>
      <c r="H37" s="31" t="s">
        <v>375</v>
      </c>
      <c r="I37" s="31" t="s">
        <v>425</v>
      </c>
      <c r="J37" t="str">
        <f t="shared" si="0"/>
        <v>	('SEN', 'セネガル', '09'),</v>
      </c>
    </row>
    <row r="38" spans="7:10">
      <c r="G38" s="31" t="s">
        <v>376</v>
      </c>
      <c r="H38" s="31" t="s">
        <v>377</v>
      </c>
      <c r="I38" s="31" t="s">
        <v>425</v>
      </c>
      <c r="J38" t="str">
        <f t="shared" si="0"/>
        <v>	('IRQ', 'イラク', '09'),</v>
      </c>
    </row>
    <row r="39" spans="7:10">
      <c r="G39" s="31" t="s">
        <v>380</v>
      </c>
      <c r="H39" s="31" t="s">
        <v>381</v>
      </c>
      <c r="I39" s="31" t="s">
        <v>427</v>
      </c>
      <c r="J39" t="str">
        <f t="shared" si="0"/>
        <v>	('ARG', 'アルゼンチン', '10'),</v>
      </c>
    </row>
    <row r="40" spans="7:10">
      <c r="G40" s="31" t="s">
        <v>384</v>
      </c>
      <c r="H40" s="31" t="s">
        <v>385</v>
      </c>
      <c r="I40" s="31" t="s">
        <v>427</v>
      </c>
      <c r="J40" t="str">
        <f t="shared" si="0"/>
        <v>	('AUT', 'オーストリア', '10'),</v>
      </c>
    </row>
    <row r="41" spans="7:10">
      <c r="G41" s="31" t="s">
        <v>386</v>
      </c>
      <c r="H41" s="31" t="s">
        <v>387</v>
      </c>
      <c r="I41" s="31" t="s">
        <v>427</v>
      </c>
      <c r="J41" t="str">
        <f t="shared" si="0"/>
        <v>	('JOR', 'ヨルダン', '10'),</v>
      </c>
    </row>
    <row r="42" spans="7:10">
      <c r="G42" s="31" t="s">
        <v>382</v>
      </c>
      <c r="H42" s="31" t="s">
        <v>383</v>
      </c>
      <c r="I42" s="31" t="s">
        <v>427</v>
      </c>
      <c r="J42" t="str">
        <f t="shared" si="0"/>
        <v>	('ALG', 'アルジェリア', '10'),</v>
      </c>
    </row>
    <row r="43" spans="7:10">
      <c r="G43" s="31" t="s">
        <v>402</v>
      </c>
      <c r="H43" s="31" t="s">
        <v>403</v>
      </c>
      <c r="I43" s="31" t="s">
        <v>429</v>
      </c>
      <c r="J43" t="str">
        <f t="shared" si="0"/>
        <v>	('COL', 'コロンビア', '11'),</v>
      </c>
    </row>
    <row r="44" spans="7:10">
      <c r="G44" s="31" t="s">
        <v>390</v>
      </c>
      <c r="H44" s="31" t="s">
        <v>391</v>
      </c>
      <c r="I44" s="31" t="s">
        <v>429</v>
      </c>
      <c r="J44" t="str">
        <f t="shared" si="0"/>
        <v>	('COD', 'コンゴ民主共和国', '11'),</v>
      </c>
    </row>
    <row r="45" spans="7:10">
      <c r="G45" s="31" t="s">
        <v>388</v>
      </c>
      <c r="H45" s="31" t="s">
        <v>389</v>
      </c>
      <c r="I45" s="31" t="s">
        <v>429</v>
      </c>
      <c r="J45" t="str">
        <f t="shared" si="0"/>
        <v>	('POR', 'ポルトガル', '11'),</v>
      </c>
    </row>
    <row r="46" spans="7:10">
      <c r="G46" s="31" t="s">
        <v>400</v>
      </c>
      <c r="H46" s="31" t="s">
        <v>401</v>
      </c>
      <c r="I46" s="31" t="s">
        <v>429</v>
      </c>
      <c r="J46" t="str">
        <f t="shared" si="0"/>
        <v>	('UZB', 'ウズベキスタン', '11'),</v>
      </c>
    </row>
    <row r="47" spans="7:10">
      <c r="G47" s="31" t="s">
        <v>392</v>
      </c>
      <c r="H47" s="31" t="s">
        <v>393</v>
      </c>
      <c r="I47" s="31" t="s">
        <v>431</v>
      </c>
      <c r="J47" t="str">
        <f t="shared" si="0"/>
        <v>	('ENG', 'イングランド', '12'),</v>
      </c>
    </row>
    <row r="48" spans="7:10">
      <c r="G48" s="31" t="s">
        <v>396</v>
      </c>
      <c r="H48" s="31" t="s">
        <v>397</v>
      </c>
      <c r="I48" s="31" t="s">
        <v>431</v>
      </c>
      <c r="J48" t="str">
        <f t="shared" si="0"/>
        <v>	('GHA', 'ガーナ', '12'),</v>
      </c>
    </row>
    <row r="49" spans="7:10">
      <c r="G49" s="31" t="s">
        <v>398</v>
      </c>
      <c r="H49" s="31" t="s">
        <v>399</v>
      </c>
      <c r="I49" s="31" t="s">
        <v>431</v>
      </c>
      <c r="J49" t="str">
        <f t="shared" si="0"/>
        <v>	('PAN', 'パナマ', '12'),</v>
      </c>
    </row>
    <row r="50" spans="7:10">
      <c r="G50" s="31" t="s">
        <v>394</v>
      </c>
      <c r="H50" s="31" t="s">
        <v>395</v>
      </c>
      <c r="I50" s="31" t="s">
        <v>431</v>
      </c>
      <c r="J50" t="str">
        <f>CHAR(9)&amp;"('"&amp;G50&amp;"', '"&amp;H50&amp;"', '"&amp;I50&amp;"')"</f>
        <v>	('CRO', 'クロアチア', '12')</v>
      </c>
    </row>
    <row r="51" spans="7:10">
      <c r="J51" t="s">
        <v>289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0" width="3.77777777777778" customWidth="1"/>
  </cols>
  <sheetData>
    <row r="2" spans="2:10">
      <c r="B2" s="1" t="s">
        <v>46</v>
      </c>
      <c r="C2" s="1"/>
      <c r="D2" s="1"/>
      <c r="E2" s="2" t="s">
        <v>47</v>
      </c>
      <c r="G2" s="96" t="s">
        <v>436</v>
      </c>
      <c r="H2" s="96" t="s">
        <v>290</v>
      </c>
      <c r="I2" s="106" t="s">
        <v>437</v>
      </c>
      <c r="J2" t="s">
        <v>438</v>
      </c>
    </row>
    <row r="3" spans="2:10">
      <c r="B3" s="3" t="s">
        <v>32</v>
      </c>
      <c r="C3" s="3"/>
      <c r="D3" s="3"/>
      <c r="E3" s="4" t="s">
        <v>52</v>
      </c>
      <c r="G3" s="32">
        <v>1</v>
      </c>
      <c r="H3" s="31" t="s">
        <v>380</v>
      </c>
      <c r="I3" s="98" t="s">
        <v>381</v>
      </c>
      <c r="J3" t="str">
        <f>CHAR(9)&amp;"("&amp;G3&amp;", '"&amp;H3&amp;"'),"</f>
        <v>	(1, 'ARG'),</v>
      </c>
    </row>
    <row r="4" spans="2:10">
      <c r="B4" s="1" t="s">
        <v>48</v>
      </c>
      <c r="C4" s="1"/>
      <c r="D4" s="1"/>
      <c r="E4" s="1"/>
      <c r="G4" s="32">
        <v>2</v>
      </c>
      <c r="H4" s="31" t="s">
        <v>356</v>
      </c>
      <c r="I4" s="98" t="s">
        <v>357</v>
      </c>
      <c r="J4" t="str">
        <f t="shared" ref="J3:J66" si="0">CHAR(9)&amp;"("&amp;G4&amp;", '"&amp;H4&amp;"'),"</f>
        <v>	(2, 'ESP'),</v>
      </c>
    </row>
    <row r="5" spans="2:10">
      <c r="B5" s="3" t="s">
        <v>55</v>
      </c>
      <c r="C5" s="3"/>
      <c r="D5" s="3"/>
      <c r="E5" s="3"/>
      <c r="G5" s="32">
        <v>3</v>
      </c>
      <c r="H5" s="31" t="s">
        <v>372</v>
      </c>
      <c r="I5" s="98" t="s">
        <v>373</v>
      </c>
      <c r="J5" t="str">
        <f t="shared" si="0"/>
        <v>	(3, 'FRA'),</v>
      </c>
    </row>
    <row r="6" spans="2:10">
      <c r="G6" s="32">
        <v>4</v>
      </c>
      <c r="H6" s="31" t="s">
        <v>392</v>
      </c>
      <c r="I6" s="98" t="s">
        <v>393</v>
      </c>
      <c r="J6" t="str">
        <f t="shared" si="0"/>
        <v>	(4, 'ENG'),</v>
      </c>
    </row>
    <row r="7" spans="2:10">
      <c r="B7" s="5" t="s">
        <v>79</v>
      </c>
      <c r="C7" s="5" t="s">
        <v>80</v>
      </c>
      <c r="D7" s="5" t="s">
        <v>81</v>
      </c>
      <c r="E7" s="5" t="s">
        <v>48</v>
      </c>
      <c r="G7" s="32">
        <v>5</v>
      </c>
      <c r="H7" s="31" t="s">
        <v>388</v>
      </c>
      <c r="I7" s="98" t="s">
        <v>389</v>
      </c>
      <c r="J7" t="str">
        <f t="shared" si="0"/>
        <v>	(5, 'POR'),</v>
      </c>
    </row>
    <row r="8" spans="2:10">
      <c r="B8" s="35" t="s">
        <v>436</v>
      </c>
      <c r="C8" s="4" t="s">
        <v>85</v>
      </c>
      <c r="D8" s="4" t="s">
        <v>318</v>
      </c>
      <c r="E8" s="35" t="s">
        <v>55</v>
      </c>
      <c r="G8" s="32">
        <v>6</v>
      </c>
      <c r="H8" s="31" t="s">
        <v>328</v>
      </c>
      <c r="I8" s="98" t="s">
        <v>329</v>
      </c>
      <c r="J8" t="str">
        <f t="shared" si="0"/>
        <v>	(6, 'BRA'),</v>
      </c>
    </row>
    <row r="9" spans="2:10">
      <c r="B9" s="35" t="s">
        <v>290</v>
      </c>
      <c r="C9" s="4" t="s">
        <v>85</v>
      </c>
      <c r="D9" s="4" t="s">
        <v>86</v>
      </c>
      <c r="E9" s="35" t="s">
        <v>315</v>
      </c>
      <c r="G9" s="32">
        <v>7</v>
      </c>
      <c r="H9" s="31" t="s">
        <v>330</v>
      </c>
      <c r="I9" s="98" t="s">
        <v>331</v>
      </c>
      <c r="J9" t="str">
        <f t="shared" si="0"/>
        <v>	(7, 'MAR'),</v>
      </c>
    </row>
    <row r="10" spans="2:10">
      <c r="B10" s="35"/>
      <c r="C10" s="4"/>
      <c r="D10" s="4"/>
      <c r="E10" s="35"/>
      <c r="G10" s="32">
        <v>8</v>
      </c>
      <c r="H10" s="31" t="s">
        <v>344</v>
      </c>
      <c r="I10" s="98" t="s">
        <v>345</v>
      </c>
      <c r="J10" t="str">
        <f t="shared" si="0"/>
        <v>	(8, 'NED'),</v>
      </c>
    </row>
    <row r="11" spans="2:10">
      <c r="B11" s="35"/>
      <c r="C11" s="4"/>
      <c r="D11" s="4"/>
      <c r="E11" s="35"/>
      <c r="G11" s="32">
        <v>9</v>
      </c>
      <c r="H11" s="31" t="s">
        <v>360</v>
      </c>
      <c r="I11" s="98" t="s">
        <v>361</v>
      </c>
      <c r="J11" t="str">
        <f t="shared" si="0"/>
        <v>	(9, 'BEL'),</v>
      </c>
    </row>
    <row r="12" spans="2:10">
      <c r="B12" s="35"/>
      <c r="C12" s="4"/>
      <c r="D12" s="4"/>
      <c r="E12" s="35"/>
      <c r="G12" s="32">
        <v>10</v>
      </c>
      <c r="H12" s="31" t="s">
        <v>340</v>
      </c>
      <c r="I12" s="98" t="s">
        <v>341</v>
      </c>
      <c r="J12" t="str">
        <f t="shared" si="0"/>
        <v>	(10, 'GER'),</v>
      </c>
    </row>
    <row r="13" spans="2:10">
      <c r="G13" s="32">
        <v>11</v>
      </c>
      <c r="H13" s="31" t="s">
        <v>394</v>
      </c>
      <c r="I13" s="98" t="s">
        <v>395</v>
      </c>
      <c r="J13" t="str">
        <f t="shared" si="0"/>
        <v>	(11, 'CRO'),</v>
      </c>
    </row>
    <row r="14" spans="2:10">
      <c r="G14" s="32">
        <v>12</v>
      </c>
      <c r="H14" s="31" t="s">
        <v>439</v>
      </c>
      <c r="I14" s="98" t="s">
        <v>440</v>
      </c>
      <c r="J14" t="str">
        <f t="shared" si="0"/>
        <v>	(12, 'ITA'),</v>
      </c>
    </row>
    <row r="15" spans="2:10">
      <c r="G15" s="32">
        <v>13</v>
      </c>
      <c r="H15" s="31" t="s">
        <v>402</v>
      </c>
      <c r="I15" s="98" t="s">
        <v>403</v>
      </c>
      <c r="J15" t="str">
        <f t="shared" si="0"/>
        <v>	(13, 'COL'),</v>
      </c>
    </row>
    <row r="16" spans="2:10">
      <c r="G16" s="32">
        <v>14</v>
      </c>
      <c r="H16" s="31" t="s">
        <v>296</v>
      </c>
      <c r="I16" s="98" t="s">
        <v>298</v>
      </c>
      <c r="J16" t="str">
        <f t="shared" si="0"/>
        <v>	(14, 'MEX'),</v>
      </c>
    </row>
    <row r="17" spans="7:10">
      <c r="G17" s="32">
        <v>15</v>
      </c>
      <c r="H17" s="31" t="s">
        <v>374</v>
      </c>
      <c r="I17" s="98" t="s">
        <v>375</v>
      </c>
      <c r="J17" t="str">
        <f t="shared" si="0"/>
        <v>	(15, 'SEN'),</v>
      </c>
    </row>
    <row r="18" spans="7:10">
      <c r="G18" s="32">
        <v>16</v>
      </c>
      <c r="H18" s="31" t="s">
        <v>366</v>
      </c>
      <c r="I18" s="98" t="s">
        <v>367</v>
      </c>
      <c r="J18" t="str">
        <f t="shared" si="0"/>
        <v>	(16, 'URU'),</v>
      </c>
    </row>
    <row r="19" spans="7:10">
      <c r="G19" s="32">
        <v>17</v>
      </c>
      <c r="H19" s="31" t="s">
        <v>316</v>
      </c>
      <c r="I19" s="98" t="s">
        <v>317</v>
      </c>
      <c r="J19" t="str">
        <f t="shared" si="0"/>
        <v>	(17, 'USA'),</v>
      </c>
    </row>
    <row r="20" spans="7:10">
      <c r="G20" s="32">
        <v>18</v>
      </c>
      <c r="H20" s="31" t="s">
        <v>346</v>
      </c>
      <c r="I20" s="98" t="s">
        <v>347</v>
      </c>
      <c r="J20" t="str">
        <f t="shared" si="0"/>
        <v>	(18, 'JPN'),</v>
      </c>
    </row>
    <row r="21" spans="7:10">
      <c r="G21" s="32">
        <v>19</v>
      </c>
      <c r="H21" s="31" t="s">
        <v>326</v>
      </c>
      <c r="I21" s="98" t="s">
        <v>327</v>
      </c>
      <c r="J21" t="str">
        <f t="shared" si="0"/>
        <v>	(19, 'SUI'),</v>
      </c>
    </row>
    <row r="22" spans="7:10">
      <c r="G22" s="32">
        <v>20</v>
      </c>
      <c r="H22" s="31" t="s">
        <v>368</v>
      </c>
      <c r="I22" s="98" t="s">
        <v>369</v>
      </c>
      <c r="J22" t="str">
        <f t="shared" si="0"/>
        <v>	(20, 'IRN'),</v>
      </c>
    </row>
    <row r="23" spans="7:10">
      <c r="G23" s="32">
        <v>21</v>
      </c>
      <c r="H23" s="31" t="s">
        <v>441</v>
      </c>
      <c r="I23" s="98" t="s">
        <v>442</v>
      </c>
      <c r="J23" t="str">
        <f t="shared" si="0"/>
        <v>	(21, 'DEN'),</v>
      </c>
    </row>
    <row r="24" spans="7:10">
      <c r="G24" s="32">
        <v>22</v>
      </c>
      <c r="H24" s="31" t="s">
        <v>338</v>
      </c>
      <c r="I24" s="98" t="s">
        <v>339</v>
      </c>
      <c r="J24" t="str">
        <f t="shared" si="0"/>
        <v>	(22, 'TUR'),</v>
      </c>
    </row>
    <row r="25" spans="7:10">
      <c r="G25" s="32">
        <v>23</v>
      </c>
      <c r="H25" s="31" t="s">
        <v>350</v>
      </c>
      <c r="I25" s="98" t="s">
        <v>351</v>
      </c>
      <c r="J25" t="str">
        <f t="shared" si="0"/>
        <v>	(23, 'ECU'),</v>
      </c>
    </row>
    <row r="26" spans="7:10">
      <c r="G26" s="32">
        <v>24</v>
      </c>
      <c r="H26" s="31" t="s">
        <v>384</v>
      </c>
      <c r="I26" s="98" t="s">
        <v>385</v>
      </c>
      <c r="J26" t="str">
        <f t="shared" si="0"/>
        <v>	(24, 'AUT'),</v>
      </c>
    </row>
    <row r="27" spans="7:10">
      <c r="G27" s="32">
        <v>25</v>
      </c>
      <c r="H27" s="31" t="s">
        <v>303</v>
      </c>
      <c r="I27" s="98" t="s">
        <v>304</v>
      </c>
      <c r="J27" t="str">
        <f t="shared" si="0"/>
        <v>	(25, 'KOR'),</v>
      </c>
    </row>
    <row r="28" spans="7:10">
      <c r="G28" s="32">
        <v>26</v>
      </c>
      <c r="H28" s="31" t="s">
        <v>443</v>
      </c>
      <c r="I28" s="98" t="s">
        <v>444</v>
      </c>
      <c r="J28" t="str">
        <f t="shared" si="0"/>
        <v>	(26, 'NGA'),</v>
      </c>
    </row>
    <row r="29" spans="7:10">
      <c r="G29" s="32">
        <v>27</v>
      </c>
      <c r="H29" s="31" t="s">
        <v>336</v>
      </c>
      <c r="I29" s="98" t="s">
        <v>337</v>
      </c>
      <c r="J29" t="str">
        <f t="shared" si="0"/>
        <v>	(27, 'AUS'),</v>
      </c>
    </row>
    <row r="30" spans="7:10">
      <c r="G30" s="32">
        <v>28</v>
      </c>
      <c r="H30" s="31" t="s">
        <v>382</v>
      </c>
      <c r="I30" s="98" t="s">
        <v>383</v>
      </c>
      <c r="J30" t="str">
        <f t="shared" si="0"/>
        <v>	(28, 'ALG'),</v>
      </c>
    </row>
    <row r="31" spans="7:10">
      <c r="G31" s="32">
        <v>29</v>
      </c>
      <c r="H31" s="31" t="s">
        <v>362</v>
      </c>
      <c r="I31" s="98" t="s">
        <v>363</v>
      </c>
      <c r="J31" t="str">
        <f t="shared" si="0"/>
        <v>	(29, 'EGY'),</v>
      </c>
    </row>
    <row r="32" spans="7:10">
      <c r="G32" s="32">
        <v>30</v>
      </c>
      <c r="H32" s="31" t="s">
        <v>309</v>
      </c>
      <c r="I32" s="98" t="s">
        <v>310</v>
      </c>
      <c r="J32" t="str">
        <f t="shared" si="0"/>
        <v>	(30, 'CAN'),</v>
      </c>
    </row>
    <row r="33" spans="7:10">
      <c r="G33" s="32">
        <v>31</v>
      </c>
      <c r="H33" s="31" t="s">
        <v>378</v>
      </c>
      <c r="I33" s="98" t="s">
        <v>379</v>
      </c>
      <c r="J33" t="str">
        <f t="shared" si="0"/>
        <v>	(31, 'NOR'),</v>
      </c>
    </row>
    <row r="34" spans="7:10">
      <c r="G34" s="32">
        <v>32</v>
      </c>
      <c r="H34" s="31" t="s">
        <v>445</v>
      </c>
      <c r="I34" s="98" t="s">
        <v>446</v>
      </c>
      <c r="J34" t="str">
        <f t="shared" si="0"/>
        <v>	(32, 'UKR'),</v>
      </c>
    </row>
    <row r="35" spans="7:10">
      <c r="G35" s="32">
        <v>33</v>
      </c>
      <c r="H35" s="31" t="s">
        <v>348</v>
      </c>
      <c r="I35" s="98" t="s">
        <v>349</v>
      </c>
      <c r="J35" t="str">
        <f t="shared" si="0"/>
        <v>	(33, 'CIV'),</v>
      </c>
    </row>
    <row r="36" spans="7:10">
      <c r="G36" s="32">
        <v>34</v>
      </c>
      <c r="H36" s="31" t="s">
        <v>398</v>
      </c>
      <c r="I36" s="98" t="s">
        <v>399</v>
      </c>
      <c r="J36" t="str">
        <f t="shared" si="0"/>
        <v>	(34, 'PAN'),</v>
      </c>
    </row>
    <row r="37" spans="7:10">
      <c r="G37" s="32">
        <v>35</v>
      </c>
      <c r="H37" s="31" t="s">
        <v>447</v>
      </c>
      <c r="I37" s="98" t="s">
        <v>448</v>
      </c>
      <c r="J37" t="str">
        <f t="shared" si="0"/>
        <v>	(35, 'RUS'),</v>
      </c>
    </row>
    <row r="38" spans="7:10">
      <c r="G38" s="32">
        <v>36</v>
      </c>
      <c r="H38" s="31" t="s">
        <v>449</v>
      </c>
      <c r="I38" s="98" t="s">
        <v>450</v>
      </c>
      <c r="J38" t="str">
        <f t="shared" si="0"/>
        <v>	(36, 'POL'),</v>
      </c>
    </row>
    <row r="39" spans="7:10">
      <c r="G39" s="32">
        <v>37</v>
      </c>
      <c r="H39" s="31" t="s">
        <v>451</v>
      </c>
      <c r="I39" s="98" t="s">
        <v>452</v>
      </c>
      <c r="J39" t="str">
        <f t="shared" si="0"/>
        <v>	(37, 'WAL'),</v>
      </c>
    </row>
    <row r="40" spans="7:10">
      <c r="G40" s="32">
        <v>38</v>
      </c>
      <c r="H40" s="31" t="s">
        <v>352</v>
      </c>
      <c r="I40" s="98" t="s">
        <v>353</v>
      </c>
      <c r="J40" t="str">
        <f t="shared" si="0"/>
        <v>	(38, 'SWE'),</v>
      </c>
    </row>
    <row r="41" spans="7:10">
      <c r="G41" s="32">
        <v>39</v>
      </c>
      <c r="H41" s="31" t="s">
        <v>453</v>
      </c>
      <c r="I41" s="98" t="s">
        <v>454</v>
      </c>
      <c r="J41" t="str">
        <f t="shared" si="0"/>
        <v>	(39, 'HUN'),</v>
      </c>
    </row>
    <row r="42" spans="7:10">
      <c r="G42" s="32">
        <v>40</v>
      </c>
      <c r="H42" s="31" t="s">
        <v>306</v>
      </c>
      <c r="I42" s="98" t="s">
        <v>307</v>
      </c>
      <c r="J42" t="str">
        <f t="shared" si="0"/>
        <v>	(40, 'CZE'),</v>
      </c>
    </row>
    <row r="43" spans="7:10">
      <c r="G43" s="32">
        <v>41</v>
      </c>
      <c r="H43" s="31" t="s">
        <v>320</v>
      </c>
      <c r="I43" s="98" t="s">
        <v>321</v>
      </c>
      <c r="J43" t="str">
        <f t="shared" si="0"/>
        <v>	(41, 'PAR'),</v>
      </c>
    </row>
    <row r="44" spans="7:10">
      <c r="G44" s="32">
        <v>42</v>
      </c>
      <c r="H44" s="31" t="s">
        <v>334</v>
      </c>
      <c r="I44" s="98" t="s">
        <v>335</v>
      </c>
      <c r="J44" t="str">
        <f t="shared" si="0"/>
        <v>	(42, 'SCO'),</v>
      </c>
    </row>
    <row r="45" spans="7:10">
      <c r="G45" s="32">
        <v>43</v>
      </c>
      <c r="H45" s="31" t="s">
        <v>455</v>
      </c>
      <c r="I45" s="98" t="s">
        <v>456</v>
      </c>
      <c r="J45" t="str">
        <f t="shared" si="0"/>
        <v>	(43, 'SRB'),</v>
      </c>
    </row>
    <row r="46" spans="7:10">
      <c r="G46" s="32">
        <v>44</v>
      </c>
      <c r="H46" s="31" t="s">
        <v>457</v>
      </c>
      <c r="I46" s="98" t="s">
        <v>458</v>
      </c>
      <c r="J46" t="str">
        <f t="shared" si="0"/>
        <v>	(44, 'CMR'),</v>
      </c>
    </row>
    <row r="47" spans="7:10">
      <c r="G47" s="32">
        <v>45</v>
      </c>
      <c r="H47" s="31" t="s">
        <v>354</v>
      </c>
      <c r="I47" s="98" t="s">
        <v>355</v>
      </c>
      <c r="J47" t="str">
        <f t="shared" si="0"/>
        <v>	(45, 'TUN'),</v>
      </c>
    </row>
    <row r="48" spans="7:10">
      <c r="G48" s="32">
        <v>46</v>
      </c>
      <c r="H48" s="31" t="s">
        <v>390</v>
      </c>
      <c r="I48" s="98" t="s">
        <v>391</v>
      </c>
      <c r="J48" t="str">
        <f t="shared" si="0"/>
        <v>	(46, 'COD'),</v>
      </c>
    </row>
    <row r="49" spans="7:10">
      <c r="G49" s="32">
        <v>47</v>
      </c>
      <c r="H49" s="31" t="s">
        <v>459</v>
      </c>
      <c r="I49" s="98" t="s">
        <v>460</v>
      </c>
      <c r="J49" t="str">
        <f t="shared" si="0"/>
        <v>	(47, 'SVK'),</v>
      </c>
    </row>
    <row r="50" spans="7:10">
      <c r="G50" s="32">
        <v>48</v>
      </c>
      <c r="H50" s="31" t="s">
        <v>461</v>
      </c>
      <c r="I50" s="98" t="s">
        <v>462</v>
      </c>
      <c r="J50" t="str">
        <f t="shared" si="0"/>
        <v>	(48, 'GRE'),</v>
      </c>
    </row>
    <row r="51" spans="7:10">
      <c r="G51" s="32">
        <v>49</v>
      </c>
      <c r="H51" s="31" t="s">
        <v>463</v>
      </c>
      <c r="I51" s="98" t="s">
        <v>464</v>
      </c>
      <c r="J51" t="str">
        <f t="shared" si="0"/>
        <v>	(49, 'VEN'),</v>
      </c>
    </row>
    <row r="52" spans="7:10">
      <c r="G52" s="32">
        <v>50</v>
      </c>
      <c r="H52" s="31" t="s">
        <v>400</v>
      </c>
      <c r="I52" s="98" t="s">
        <v>401</v>
      </c>
      <c r="J52" t="str">
        <f t="shared" si="0"/>
        <v>	(50, 'UZB'),</v>
      </c>
    </row>
    <row r="53" spans="7:10">
      <c r="G53" s="32">
        <v>51</v>
      </c>
      <c r="H53" s="31" t="s">
        <v>465</v>
      </c>
      <c r="I53" s="98" t="s">
        <v>466</v>
      </c>
      <c r="J53" t="str">
        <f t="shared" si="0"/>
        <v>	(51, 'CHI'),</v>
      </c>
    </row>
    <row r="54" spans="7:10">
      <c r="G54" s="32">
        <v>52</v>
      </c>
      <c r="H54" s="31" t="s">
        <v>467</v>
      </c>
      <c r="I54" s="98" t="s">
        <v>468</v>
      </c>
      <c r="J54" t="str">
        <f t="shared" si="0"/>
        <v>	(52, 'PER'),</v>
      </c>
    </row>
    <row r="55" spans="7:10">
      <c r="G55" s="32">
        <v>53</v>
      </c>
      <c r="H55" s="31" t="s">
        <v>469</v>
      </c>
      <c r="I55" s="98" t="s">
        <v>470</v>
      </c>
      <c r="J55" t="str">
        <f t="shared" si="0"/>
        <v>	(53, 'CRC'),</v>
      </c>
    </row>
    <row r="56" spans="7:10">
      <c r="G56" s="32">
        <v>54</v>
      </c>
      <c r="H56" s="31" t="s">
        <v>471</v>
      </c>
      <c r="I56" s="98" t="s">
        <v>472</v>
      </c>
      <c r="J56" t="str">
        <f t="shared" si="0"/>
        <v>	(54, 'ROU'),</v>
      </c>
    </row>
    <row r="57" spans="7:10">
      <c r="G57" s="32">
        <v>55</v>
      </c>
      <c r="H57" s="31" t="s">
        <v>473</v>
      </c>
      <c r="I57" s="98" t="s">
        <v>474</v>
      </c>
      <c r="J57" t="str">
        <f t="shared" si="0"/>
        <v>	(55, 'MLI'),</v>
      </c>
    </row>
    <row r="58" spans="7:10">
      <c r="G58" s="32">
        <v>56</v>
      </c>
      <c r="H58" s="31" t="s">
        <v>323</v>
      </c>
      <c r="I58" s="98" t="s">
        <v>324</v>
      </c>
      <c r="J58" t="str">
        <f t="shared" si="0"/>
        <v>	(56, 'QAT'),</v>
      </c>
    </row>
    <row r="59" spans="7:10">
      <c r="G59" s="32">
        <v>57</v>
      </c>
      <c r="H59" s="31" t="s">
        <v>376</v>
      </c>
      <c r="I59" s="98" t="s">
        <v>377</v>
      </c>
      <c r="J59" t="str">
        <f t="shared" si="0"/>
        <v>	(57, 'IRQ'),</v>
      </c>
    </row>
    <row r="60" spans="7:10">
      <c r="G60" s="32">
        <v>58</v>
      </c>
      <c r="H60" s="31" t="s">
        <v>475</v>
      </c>
      <c r="I60" s="98" t="s">
        <v>476</v>
      </c>
      <c r="J60" t="str">
        <f t="shared" si="0"/>
        <v>	(58, 'IRL'),</v>
      </c>
    </row>
    <row r="61" spans="7:10">
      <c r="G61" s="32">
        <v>59</v>
      </c>
      <c r="H61" s="31" t="s">
        <v>477</v>
      </c>
      <c r="I61" s="98" t="s">
        <v>478</v>
      </c>
      <c r="J61" t="str">
        <f t="shared" si="0"/>
        <v>	(59, 'SVN'),</v>
      </c>
    </row>
    <row r="62" spans="7:10">
      <c r="G62" s="32">
        <v>60</v>
      </c>
      <c r="H62" s="31" t="s">
        <v>300</v>
      </c>
      <c r="I62" s="98" t="s">
        <v>301</v>
      </c>
      <c r="J62" t="str">
        <f t="shared" si="0"/>
        <v>	(60, 'RSA'),</v>
      </c>
    </row>
    <row r="63" spans="7:10">
      <c r="G63" s="32">
        <v>61</v>
      </c>
      <c r="H63" s="31" t="s">
        <v>364</v>
      </c>
      <c r="I63" s="98" t="s">
        <v>365</v>
      </c>
      <c r="J63" t="str">
        <f t="shared" si="0"/>
        <v>	(61, 'KSA'),</v>
      </c>
    </row>
    <row r="64" spans="7:10">
      <c r="G64" s="32">
        <v>62</v>
      </c>
      <c r="H64" s="31" t="s">
        <v>479</v>
      </c>
      <c r="I64" s="98" t="s">
        <v>480</v>
      </c>
      <c r="J64" t="str">
        <f t="shared" si="0"/>
        <v>	(62, 'BFA'),</v>
      </c>
    </row>
    <row r="65" spans="7:10">
      <c r="G65" s="32">
        <v>63</v>
      </c>
      <c r="H65" s="31" t="s">
        <v>386</v>
      </c>
      <c r="I65" s="98" t="s">
        <v>387</v>
      </c>
      <c r="J65" t="str">
        <f t="shared" si="0"/>
        <v>	(63, 'JOR'),</v>
      </c>
    </row>
    <row r="66" spans="7:10">
      <c r="G66" s="32">
        <v>64</v>
      </c>
      <c r="H66" s="31" t="s">
        <v>312</v>
      </c>
      <c r="I66" s="98" t="s">
        <v>313</v>
      </c>
      <c r="J66" t="str">
        <f t="shared" si="0"/>
        <v>	(64, 'BIH'),</v>
      </c>
    </row>
    <row r="67" spans="7:10">
      <c r="G67" s="32">
        <v>65</v>
      </c>
      <c r="H67" s="31" t="s">
        <v>481</v>
      </c>
      <c r="I67" s="98" t="s">
        <v>482</v>
      </c>
      <c r="J67" t="str">
        <f t="shared" ref="J67:J130" si="1">CHAR(9)&amp;"("&amp;G67&amp;", '"&amp;H67&amp;"'),"</f>
        <v>	(65, 'HON'),</v>
      </c>
    </row>
    <row r="68" spans="7:10">
      <c r="G68" s="32">
        <v>66</v>
      </c>
      <c r="H68" s="31" t="s">
        <v>483</v>
      </c>
      <c r="I68" s="98" t="s">
        <v>484</v>
      </c>
      <c r="J68" t="str">
        <f t="shared" si="1"/>
        <v>	(66, 'ALB'),</v>
      </c>
    </row>
    <row r="69" spans="7:10">
      <c r="G69" s="32">
        <v>67</v>
      </c>
      <c r="H69" s="31" t="s">
        <v>358</v>
      </c>
      <c r="I69" s="98" t="s">
        <v>359</v>
      </c>
      <c r="J69" t="str">
        <f t="shared" si="1"/>
        <v>	(67, 'CPV'),</v>
      </c>
    </row>
    <row r="70" spans="7:10">
      <c r="G70" s="32">
        <v>68</v>
      </c>
      <c r="H70" s="31" t="s">
        <v>485</v>
      </c>
      <c r="I70" s="98" t="s">
        <v>486</v>
      </c>
      <c r="J70" t="str">
        <f t="shared" si="1"/>
        <v>	(68, 'UAE'),</v>
      </c>
    </row>
    <row r="71" spans="7:10">
      <c r="G71" s="32">
        <v>69</v>
      </c>
      <c r="H71" s="31" t="s">
        <v>487</v>
      </c>
      <c r="I71" s="98" t="s">
        <v>488</v>
      </c>
      <c r="J71" t="str">
        <f t="shared" si="1"/>
        <v>	(69, 'MKD'),</v>
      </c>
    </row>
    <row r="72" spans="7:10">
      <c r="G72" s="32">
        <v>70</v>
      </c>
      <c r="H72" s="31" t="s">
        <v>489</v>
      </c>
      <c r="I72" s="98" t="s">
        <v>490</v>
      </c>
      <c r="J72" t="str">
        <f t="shared" si="1"/>
        <v>	(70, 'NIR'),</v>
      </c>
    </row>
    <row r="73" spans="7:10">
      <c r="G73" s="32">
        <v>71</v>
      </c>
      <c r="H73" s="31" t="s">
        <v>491</v>
      </c>
      <c r="I73" s="98" t="s">
        <v>492</v>
      </c>
      <c r="J73" t="str">
        <f t="shared" si="1"/>
        <v>	(71, 'JAM'),</v>
      </c>
    </row>
    <row r="74" spans="7:10">
      <c r="G74" s="32">
        <v>72</v>
      </c>
      <c r="H74" s="31" t="s">
        <v>493</v>
      </c>
      <c r="I74" s="98" t="s">
        <v>494</v>
      </c>
      <c r="J74" t="str">
        <f t="shared" si="1"/>
        <v>	(72, 'GEO'),</v>
      </c>
    </row>
    <row r="75" spans="7:10">
      <c r="G75" s="32">
        <v>73</v>
      </c>
      <c r="H75" s="31" t="s">
        <v>396</v>
      </c>
      <c r="I75" s="98" t="s">
        <v>397</v>
      </c>
      <c r="J75" t="str">
        <f t="shared" si="1"/>
        <v>	(73, 'GHA'),</v>
      </c>
    </row>
    <row r="76" spans="7:10">
      <c r="G76" s="32">
        <v>74</v>
      </c>
      <c r="H76" s="31" t="s">
        <v>495</v>
      </c>
      <c r="I76" s="98" t="s">
        <v>496</v>
      </c>
      <c r="J76" t="str">
        <f t="shared" si="1"/>
        <v>	(74, 'ISL'),</v>
      </c>
    </row>
    <row r="77" spans="7:10">
      <c r="G77" s="32">
        <v>75</v>
      </c>
      <c r="H77" s="31" t="s">
        <v>497</v>
      </c>
      <c r="I77" s="98" t="s">
        <v>498</v>
      </c>
      <c r="J77" t="str">
        <f t="shared" si="1"/>
        <v>	(75, 'FIN'),</v>
      </c>
    </row>
    <row r="78" spans="7:10">
      <c r="G78" s="32">
        <v>76</v>
      </c>
      <c r="H78" s="31" t="s">
        <v>499</v>
      </c>
      <c r="I78" s="98" t="s">
        <v>500</v>
      </c>
      <c r="J78" t="str">
        <f t="shared" si="1"/>
        <v>	(76, 'ISR'),</v>
      </c>
    </row>
    <row r="79" spans="7:10">
      <c r="G79" s="32">
        <v>77</v>
      </c>
      <c r="H79" s="31" t="s">
        <v>501</v>
      </c>
      <c r="I79" s="98" t="s">
        <v>502</v>
      </c>
      <c r="J79" t="str">
        <f t="shared" si="1"/>
        <v>	(77, 'BOL'),</v>
      </c>
    </row>
    <row r="80" spans="7:10">
      <c r="G80" s="32">
        <v>78</v>
      </c>
      <c r="H80" s="31" t="s">
        <v>503</v>
      </c>
      <c r="I80" s="98" t="s">
        <v>504</v>
      </c>
      <c r="J80" t="str">
        <f t="shared" si="1"/>
        <v>	(78, 'KOS'),</v>
      </c>
    </row>
    <row r="81" spans="7:10">
      <c r="G81" s="32">
        <v>79</v>
      </c>
      <c r="H81" s="31" t="s">
        <v>505</v>
      </c>
      <c r="I81" s="98" t="s">
        <v>506</v>
      </c>
      <c r="J81" t="str">
        <f t="shared" si="1"/>
        <v>	(79, 'OMA'),</v>
      </c>
    </row>
    <row r="82" spans="7:10">
      <c r="G82" s="32">
        <v>80</v>
      </c>
      <c r="H82" s="31" t="s">
        <v>507</v>
      </c>
      <c r="I82" s="98" t="s">
        <v>508</v>
      </c>
      <c r="J82" t="str">
        <f t="shared" si="1"/>
        <v>	(80, 'MNE'),</v>
      </c>
    </row>
    <row r="83" spans="7:10">
      <c r="G83" s="32">
        <v>81</v>
      </c>
      <c r="H83" s="31" t="s">
        <v>509</v>
      </c>
      <c r="I83" s="98" t="s">
        <v>510</v>
      </c>
      <c r="J83" t="str">
        <f t="shared" si="1"/>
        <v>	(81, 'GUI'),</v>
      </c>
    </row>
    <row r="84" spans="7:10">
      <c r="G84" s="32">
        <v>82</v>
      </c>
      <c r="H84" s="31" t="s">
        <v>342</v>
      </c>
      <c r="I84" s="98" t="s">
        <v>343</v>
      </c>
      <c r="J84" t="str">
        <f t="shared" si="1"/>
        <v>	(82, 'CUW'),</v>
      </c>
    </row>
    <row r="85" spans="7:10">
      <c r="G85" s="32">
        <v>83</v>
      </c>
      <c r="H85" s="31" t="s">
        <v>332</v>
      </c>
      <c r="I85" s="98" t="s">
        <v>333</v>
      </c>
      <c r="J85" t="str">
        <f t="shared" si="1"/>
        <v>	(83, 'HAI'),</v>
      </c>
    </row>
    <row r="86" spans="7:10">
      <c r="G86" s="32">
        <v>84</v>
      </c>
      <c r="H86" s="31" t="s">
        <v>511</v>
      </c>
      <c r="I86" s="98" t="s">
        <v>512</v>
      </c>
      <c r="J86" t="str">
        <f t="shared" si="1"/>
        <v>	(84, 'SYR'),</v>
      </c>
    </row>
    <row r="87" spans="7:10">
      <c r="G87" s="32">
        <v>85</v>
      </c>
      <c r="H87" s="31" t="s">
        <v>370</v>
      </c>
      <c r="I87" s="98" t="s">
        <v>371</v>
      </c>
      <c r="J87" t="str">
        <f t="shared" si="1"/>
        <v>	(85, 'NZL'),</v>
      </c>
    </row>
    <row r="88" spans="7:10">
      <c r="G88" s="32">
        <v>86</v>
      </c>
      <c r="H88" s="31" t="s">
        <v>513</v>
      </c>
      <c r="I88" s="98" t="s">
        <v>514</v>
      </c>
      <c r="J88" t="str">
        <f t="shared" si="1"/>
        <v>	(86, 'GAB'),</v>
      </c>
    </row>
    <row r="89" spans="7:10">
      <c r="G89" s="32">
        <v>87</v>
      </c>
      <c r="H89" s="31" t="s">
        <v>515</v>
      </c>
      <c r="I89" s="98" t="s">
        <v>516</v>
      </c>
      <c r="J89" t="str">
        <f t="shared" si="1"/>
        <v>	(87, 'BUL'),</v>
      </c>
    </row>
    <row r="90" spans="7:10">
      <c r="G90" s="32">
        <v>88</v>
      </c>
      <c r="H90" s="31" t="s">
        <v>517</v>
      </c>
      <c r="I90" s="98" t="s">
        <v>518</v>
      </c>
      <c r="J90" t="str">
        <f t="shared" si="1"/>
        <v>	(88, 'ANG'),</v>
      </c>
    </row>
    <row r="91" spans="7:10">
      <c r="G91" s="32">
        <v>89</v>
      </c>
      <c r="H91" s="31" t="s">
        <v>519</v>
      </c>
      <c r="I91" s="98" t="s">
        <v>520</v>
      </c>
      <c r="J91" t="str">
        <f t="shared" si="1"/>
        <v>	(89, 'UGA'),</v>
      </c>
    </row>
    <row r="92" spans="7:10">
      <c r="G92" s="32">
        <v>90</v>
      </c>
      <c r="H92" s="31" t="s">
        <v>521</v>
      </c>
      <c r="I92" s="98" t="s">
        <v>522</v>
      </c>
      <c r="J92" t="str">
        <f t="shared" si="1"/>
        <v>	(90, 'ZAM'),</v>
      </c>
    </row>
    <row r="93" spans="7:10">
      <c r="G93" s="32">
        <v>91</v>
      </c>
      <c r="H93" s="31" t="s">
        <v>523</v>
      </c>
      <c r="I93" s="98" t="s">
        <v>524</v>
      </c>
      <c r="J93" t="str">
        <f t="shared" si="1"/>
        <v>	(91, 'CHN'),</v>
      </c>
    </row>
    <row r="94" spans="7:10">
      <c r="G94" s="32">
        <v>92</v>
      </c>
      <c r="H94" s="31" t="s">
        <v>525</v>
      </c>
      <c r="I94" s="98" t="s">
        <v>526</v>
      </c>
      <c r="J94" t="str">
        <f t="shared" si="1"/>
        <v>	(92, 'BHR'),</v>
      </c>
    </row>
    <row r="95" spans="7:10">
      <c r="G95" s="32">
        <v>93</v>
      </c>
      <c r="H95" s="31" t="s">
        <v>527</v>
      </c>
      <c r="I95" s="98" t="s">
        <v>528</v>
      </c>
      <c r="J95" t="str">
        <f t="shared" si="1"/>
        <v>	(93, 'BEN'),</v>
      </c>
    </row>
    <row r="96" spans="7:10">
      <c r="G96" s="32">
        <v>94</v>
      </c>
      <c r="H96" s="31" t="s">
        <v>529</v>
      </c>
      <c r="I96" s="98" t="s">
        <v>530</v>
      </c>
      <c r="J96" t="str">
        <f t="shared" si="1"/>
        <v>	(94, 'THA'),</v>
      </c>
    </row>
    <row r="97" spans="7:10">
      <c r="G97" s="32">
        <v>95</v>
      </c>
      <c r="H97" s="31" t="s">
        <v>531</v>
      </c>
      <c r="I97" s="98" t="s">
        <v>532</v>
      </c>
      <c r="J97" t="str">
        <f t="shared" si="1"/>
        <v>	(95, 'PSE'),</v>
      </c>
    </row>
    <row r="98" spans="7:10">
      <c r="G98" s="32">
        <v>96</v>
      </c>
      <c r="H98" s="31" t="s">
        <v>533</v>
      </c>
      <c r="I98" s="98" t="s">
        <v>534</v>
      </c>
      <c r="J98" t="str">
        <f t="shared" si="1"/>
        <v>	(96, 'BLR'),</v>
      </c>
    </row>
    <row r="99" spans="7:10">
      <c r="G99" s="32">
        <v>97</v>
      </c>
      <c r="H99" s="31" t="s">
        <v>535</v>
      </c>
      <c r="I99" s="98" t="s">
        <v>536</v>
      </c>
      <c r="J99" t="str">
        <f t="shared" si="1"/>
        <v>	(97, 'GUA'),</v>
      </c>
    </row>
    <row r="100" spans="7:10">
      <c r="G100" s="32">
        <v>98</v>
      </c>
      <c r="H100" s="31" t="s">
        <v>537</v>
      </c>
      <c r="I100" s="98" t="s">
        <v>538</v>
      </c>
      <c r="J100" t="str">
        <f t="shared" si="1"/>
        <v>	(98, 'LUX'),</v>
      </c>
    </row>
    <row r="101" spans="7:10">
      <c r="G101" s="32">
        <v>99</v>
      </c>
      <c r="H101" s="31" t="s">
        <v>539</v>
      </c>
      <c r="I101" s="98" t="s">
        <v>540</v>
      </c>
      <c r="J101" t="str">
        <f t="shared" si="1"/>
        <v>	(99, 'VIE'),</v>
      </c>
    </row>
    <row r="102" spans="7:10">
      <c r="G102" s="32">
        <v>100</v>
      </c>
      <c r="H102" s="31" t="s">
        <v>541</v>
      </c>
      <c r="I102" s="98" t="s">
        <v>542</v>
      </c>
      <c r="J102" t="str">
        <f t="shared" si="1"/>
        <v>	(100, 'SLV'),</v>
      </c>
    </row>
    <row r="103" spans="7:10">
      <c r="G103" s="32">
        <v>101</v>
      </c>
      <c r="H103" s="31" t="s">
        <v>543</v>
      </c>
      <c r="I103" s="98" t="s">
        <v>544</v>
      </c>
      <c r="J103" t="str">
        <f t="shared" si="1"/>
        <v>	(101, 'TJK'),</v>
      </c>
    </row>
    <row r="104" spans="7:10">
      <c r="G104" s="32">
        <v>102</v>
      </c>
      <c r="H104" s="31" t="s">
        <v>545</v>
      </c>
      <c r="I104" s="98" t="s">
        <v>546</v>
      </c>
      <c r="J104" t="str">
        <f t="shared" si="1"/>
        <v>	(102, 'TRI'),</v>
      </c>
    </row>
    <row r="105" spans="7:10">
      <c r="G105" s="32">
        <v>103</v>
      </c>
      <c r="H105" s="31" t="s">
        <v>547</v>
      </c>
      <c r="I105" s="98" t="s">
        <v>548</v>
      </c>
      <c r="J105" t="str">
        <f t="shared" si="1"/>
        <v>	(103, 'MOZ'),</v>
      </c>
    </row>
    <row r="106" spans="7:10">
      <c r="G106" s="32">
        <v>104</v>
      </c>
      <c r="H106" s="31" t="s">
        <v>549</v>
      </c>
      <c r="I106" s="98" t="s">
        <v>550</v>
      </c>
      <c r="J106" t="str">
        <f t="shared" si="1"/>
        <v>	(104, 'MAD'),</v>
      </c>
    </row>
    <row r="107" spans="7:10">
      <c r="G107" s="32">
        <v>105</v>
      </c>
      <c r="H107" s="31" t="s">
        <v>551</v>
      </c>
      <c r="I107" s="98" t="s">
        <v>552</v>
      </c>
      <c r="J107" t="str">
        <f t="shared" si="1"/>
        <v>	(105, 'EQG'),</v>
      </c>
    </row>
    <row r="108" spans="7:10">
      <c r="G108" s="32">
        <v>106</v>
      </c>
      <c r="H108" s="31" t="s">
        <v>553</v>
      </c>
      <c r="I108" s="98" t="s">
        <v>554</v>
      </c>
      <c r="J108" t="str">
        <f t="shared" si="1"/>
        <v>	(106, 'KGZ'),</v>
      </c>
    </row>
    <row r="109" spans="7:10">
      <c r="G109" s="32">
        <v>107</v>
      </c>
      <c r="H109" s="31" t="s">
        <v>555</v>
      </c>
      <c r="I109" s="98" t="s">
        <v>556</v>
      </c>
      <c r="J109" t="str">
        <f t="shared" si="1"/>
        <v>	(107, 'ARM'),</v>
      </c>
    </row>
    <row r="110" spans="7:10">
      <c r="G110" s="32">
        <v>108</v>
      </c>
      <c r="H110" s="31" t="s">
        <v>557</v>
      </c>
      <c r="I110" s="98" t="s">
        <v>558</v>
      </c>
      <c r="J110" t="str">
        <f t="shared" si="1"/>
        <v>	(108, 'COM'),</v>
      </c>
    </row>
    <row r="111" spans="7:10">
      <c r="G111" s="32">
        <v>109</v>
      </c>
      <c r="H111" s="31" t="s">
        <v>559</v>
      </c>
      <c r="I111" s="98" t="s">
        <v>560</v>
      </c>
      <c r="J111" t="str">
        <f t="shared" si="1"/>
        <v>	(109, 'KEN'),</v>
      </c>
    </row>
    <row r="112" spans="7:10">
      <c r="G112" s="32">
        <v>110</v>
      </c>
      <c r="H112" s="31" t="s">
        <v>561</v>
      </c>
      <c r="I112" s="98" t="s">
        <v>562</v>
      </c>
      <c r="J112" t="str">
        <f t="shared" si="1"/>
        <v>	(110, 'LBY'),</v>
      </c>
    </row>
    <row r="113" spans="7:10">
      <c r="G113" s="32">
        <v>111</v>
      </c>
      <c r="H113" s="31" t="s">
        <v>563</v>
      </c>
      <c r="I113" s="98" t="s">
        <v>564</v>
      </c>
      <c r="J113" t="str">
        <f t="shared" si="1"/>
        <v>	(111, 'KAZ'),</v>
      </c>
    </row>
    <row r="114" spans="7:10">
      <c r="G114" s="32">
        <v>112</v>
      </c>
      <c r="H114" s="31" t="s">
        <v>565</v>
      </c>
      <c r="I114" s="98" t="s">
        <v>566</v>
      </c>
      <c r="J114" t="str">
        <f t="shared" si="1"/>
        <v>	(112, 'TAN'),</v>
      </c>
    </row>
    <row r="115" spans="7:10">
      <c r="G115" s="32">
        <v>113</v>
      </c>
      <c r="H115" s="31" t="s">
        <v>567</v>
      </c>
      <c r="I115" s="98" t="s">
        <v>568</v>
      </c>
      <c r="J115" t="str">
        <f t="shared" si="1"/>
        <v>	(113, 'MTN'),</v>
      </c>
    </row>
    <row r="116" spans="7:10">
      <c r="G116" s="32">
        <v>114</v>
      </c>
      <c r="H116" s="31" t="s">
        <v>569</v>
      </c>
      <c r="I116" s="98" t="s">
        <v>570</v>
      </c>
      <c r="J116" t="str">
        <f t="shared" si="1"/>
        <v>	(114, 'NER'),</v>
      </c>
    </row>
    <row r="117" spans="7:10">
      <c r="G117" s="32">
        <v>115</v>
      </c>
      <c r="H117" s="31" t="s">
        <v>571</v>
      </c>
      <c r="I117" s="98" t="s">
        <v>572</v>
      </c>
      <c r="J117" t="str">
        <f t="shared" si="1"/>
        <v>	(115, 'LBN'),</v>
      </c>
    </row>
    <row r="118" spans="7:10">
      <c r="G118" s="32">
        <v>116</v>
      </c>
      <c r="H118" s="31" t="s">
        <v>573</v>
      </c>
      <c r="I118" s="98" t="s">
        <v>574</v>
      </c>
      <c r="J118" t="str">
        <f t="shared" si="1"/>
        <v>	(116, 'GAM'),</v>
      </c>
    </row>
    <row r="119" spans="7:10">
      <c r="G119" s="32">
        <v>117</v>
      </c>
      <c r="H119" s="31" t="s">
        <v>575</v>
      </c>
      <c r="I119" s="98" t="s">
        <v>576</v>
      </c>
      <c r="J119" t="str">
        <f t="shared" si="1"/>
        <v>	(117, 'SDN'),</v>
      </c>
    </row>
    <row r="120" spans="7:10">
      <c r="G120" s="32">
        <v>118</v>
      </c>
      <c r="H120" s="31" t="s">
        <v>577</v>
      </c>
      <c r="I120" s="98" t="s">
        <v>578</v>
      </c>
      <c r="J120" t="str">
        <f t="shared" si="1"/>
        <v>	(118, 'IDN'),</v>
      </c>
    </row>
    <row r="121" spans="7:10">
      <c r="G121" s="32">
        <v>119</v>
      </c>
      <c r="H121" s="31" t="s">
        <v>579</v>
      </c>
      <c r="I121" s="98" t="s">
        <v>580</v>
      </c>
      <c r="J121" t="str">
        <f t="shared" si="1"/>
        <v>	(119, 'TOG'),</v>
      </c>
    </row>
    <row r="122" spans="7:10">
      <c r="G122" s="32">
        <v>120</v>
      </c>
      <c r="H122" s="31" t="s">
        <v>581</v>
      </c>
      <c r="I122" s="98" t="s">
        <v>582</v>
      </c>
      <c r="J122" t="str">
        <f t="shared" si="1"/>
        <v>	(120, 'PRK'),</v>
      </c>
    </row>
    <row r="123" spans="7:10">
      <c r="G123" s="32">
        <v>121</v>
      </c>
      <c r="H123" s="31" t="s">
        <v>583</v>
      </c>
      <c r="I123" s="98" t="s">
        <v>584</v>
      </c>
      <c r="J123" t="str">
        <f t="shared" si="1"/>
        <v>	(121, 'NAM'),</v>
      </c>
    </row>
    <row r="124" spans="7:10">
      <c r="G124" s="32">
        <v>122</v>
      </c>
      <c r="H124" s="31" t="s">
        <v>585</v>
      </c>
      <c r="I124" s="98" t="s">
        <v>586</v>
      </c>
      <c r="J124" t="str">
        <f t="shared" si="1"/>
        <v>	(122, 'SLE'),</v>
      </c>
    </row>
    <row r="125" spans="7:10">
      <c r="G125" s="32">
        <v>123</v>
      </c>
      <c r="H125" s="31" t="s">
        <v>587</v>
      </c>
      <c r="I125" s="98" t="s">
        <v>588</v>
      </c>
      <c r="J125" t="str">
        <f t="shared" si="1"/>
        <v>	(123, 'FRO'),</v>
      </c>
    </row>
    <row r="126" spans="7:10">
      <c r="G126" s="32">
        <v>124</v>
      </c>
      <c r="H126" s="31" t="s">
        <v>589</v>
      </c>
      <c r="I126" s="98" t="s">
        <v>590</v>
      </c>
      <c r="J126" t="str">
        <f t="shared" si="1"/>
        <v>	(124, 'CYP'),</v>
      </c>
    </row>
    <row r="127" spans="7:10">
      <c r="G127" s="32">
        <v>125</v>
      </c>
      <c r="H127" s="31" t="s">
        <v>591</v>
      </c>
      <c r="I127" s="98" t="s">
        <v>592</v>
      </c>
      <c r="J127" t="str">
        <f t="shared" si="1"/>
        <v>	(125, 'SUR'),</v>
      </c>
    </row>
    <row r="128" spans="7:10">
      <c r="G128" s="32">
        <v>126</v>
      </c>
      <c r="H128" s="31" t="s">
        <v>593</v>
      </c>
      <c r="I128" s="98" t="s">
        <v>594</v>
      </c>
      <c r="J128" t="str">
        <f t="shared" si="1"/>
        <v>	(126, 'AZE'),</v>
      </c>
    </row>
    <row r="129" spans="7:10">
      <c r="G129" s="32">
        <v>127</v>
      </c>
      <c r="H129" s="31" t="s">
        <v>595</v>
      </c>
      <c r="I129" s="98" t="s">
        <v>596</v>
      </c>
      <c r="J129" t="str">
        <f t="shared" si="1"/>
        <v>	(127, 'EST'),</v>
      </c>
    </row>
    <row r="130" spans="7:10">
      <c r="G130" s="32">
        <v>128</v>
      </c>
      <c r="H130" s="31" t="s">
        <v>597</v>
      </c>
      <c r="I130" s="98" t="s">
        <v>598</v>
      </c>
      <c r="J130" t="str">
        <f t="shared" si="1"/>
        <v>	(128, 'RWA'),</v>
      </c>
    </row>
    <row r="131" spans="7:10">
      <c r="G131" s="32">
        <v>129</v>
      </c>
      <c r="H131" s="31" t="s">
        <v>599</v>
      </c>
      <c r="I131" s="98" t="s">
        <v>600</v>
      </c>
      <c r="J131" t="str">
        <f t="shared" ref="J131:J194" si="2">CHAR(9)&amp;"("&amp;G131&amp;", '"&amp;H131&amp;"'),"</f>
        <v>	(129, 'MWI'),</v>
      </c>
    </row>
    <row r="132" spans="7:10">
      <c r="G132" s="32">
        <v>130</v>
      </c>
      <c r="H132" s="31" t="s">
        <v>601</v>
      </c>
      <c r="I132" s="98" t="s">
        <v>602</v>
      </c>
      <c r="J132" t="str">
        <f t="shared" si="2"/>
        <v>	(130, 'ZIM'),</v>
      </c>
    </row>
    <row r="133" spans="7:10">
      <c r="G133" s="32">
        <v>131</v>
      </c>
      <c r="H133" s="31" t="s">
        <v>603</v>
      </c>
      <c r="I133" s="98" t="s">
        <v>604</v>
      </c>
      <c r="J133" t="str">
        <f t="shared" si="2"/>
        <v>	(131, 'NCA'),</v>
      </c>
    </row>
    <row r="134" spans="7:10">
      <c r="G134" s="32">
        <v>132</v>
      </c>
      <c r="H134" s="31" t="s">
        <v>605</v>
      </c>
      <c r="I134" s="98" t="s">
        <v>606</v>
      </c>
      <c r="J134" t="str">
        <f t="shared" si="2"/>
        <v>	(132, 'GNB'),</v>
      </c>
    </row>
    <row r="135" spans="7:10">
      <c r="G135" s="32">
        <v>133</v>
      </c>
      <c r="H135" s="31" t="s">
        <v>607</v>
      </c>
      <c r="I135" s="98" t="s">
        <v>608</v>
      </c>
      <c r="J135" t="str">
        <f t="shared" si="2"/>
        <v>	(133, 'KUW'),</v>
      </c>
    </row>
    <row r="136" spans="7:10">
      <c r="G136" s="32">
        <v>134</v>
      </c>
      <c r="H136" s="31" t="s">
        <v>609</v>
      </c>
      <c r="I136" s="98" t="s">
        <v>610</v>
      </c>
      <c r="J136" t="str">
        <f t="shared" si="2"/>
        <v>	(134, 'CGO'),</v>
      </c>
    </row>
    <row r="137" spans="7:10">
      <c r="G137" s="32">
        <v>135</v>
      </c>
      <c r="H137" s="31" t="s">
        <v>611</v>
      </c>
      <c r="I137" s="98" t="s">
        <v>612</v>
      </c>
      <c r="J137" t="str">
        <f t="shared" si="2"/>
        <v>	(135, 'PHI'),</v>
      </c>
    </row>
    <row r="138" spans="7:10">
      <c r="G138" s="32">
        <v>136</v>
      </c>
      <c r="H138" s="31" t="s">
        <v>613</v>
      </c>
      <c r="I138" s="98" t="s">
        <v>614</v>
      </c>
      <c r="J138" t="str">
        <f t="shared" si="2"/>
        <v>	(136, 'MAS'),</v>
      </c>
    </row>
    <row r="139" spans="7:10">
      <c r="G139" s="32">
        <v>137</v>
      </c>
      <c r="H139" s="31" t="s">
        <v>615</v>
      </c>
      <c r="I139" s="98" t="s">
        <v>616</v>
      </c>
      <c r="J139" t="str">
        <f t="shared" si="2"/>
        <v>	(137, 'LVA'),</v>
      </c>
    </row>
    <row r="140" spans="7:10">
      <c r="G140" s="32">
        <v>138</v>
      </c>
      <c r="H140" s="31" t="s">
        <v>617</v>
      </c>
      <c r="I140" s="98" t="s">
        <v>618</v>
      </c>
      <c r="J140" t="str">
        <f t="shared" si="2"/>
        <v>	(138, 'IND'),</v>
      </c>
    </row>
    <row r="141" spans="7:10">
      <c r="G141" s="32">
        <v>139</v>
      </c>
      <c r="H141" s="31" t="s">
        <v>619</v>
      </c>
      <c r="I141" s="98" t="s">
        <v>620</v>
      </c>
      <c r="J141" t="str">
        <f t="shared" si="2"/>
        <v>	(139, 'CTA'),</v>
      </c>
    </row>
    <row r="142" spans="7:10">
      <c r="G142" s="32">
        <v>140</v>
      </c>
      <c r="H142" s="31" t="s">
        <v>621</v>
      </c>
      <c r="I142" s="98" t="s">
        <v>622</v>
      </c>
      <c r="J142" t="str">
        <f t="shared" si="2"/>
        <v>	(140, 'LBR'),</v>
      </c>
    </row>
    <row r="143" spans="7:10">
      <c r="G143" s="32">
        <v>141</v>
      </c>
      <c r="H143" s="31" t="s">
        <v>623</v>
      </c>
      <c r="I143" s="98" t="s">
        <v>624</v>
      </c>
      <c r="J143" t="str">
        <f t="shared" si="2"/>
        <v>	(141, 'TKM'),</v>
      </c>
    </row>
    <row r="144" spans="7:10">
      <c r="G144" s="32">
        <v>142</v>
      </c>
      <c r="H144" s="31" t="s">
        <v>625</v>
      </c>
      <c r="I144" s="98" t="s">
        <v>626</v>
      </c>
      <c r="J144" t="str">
        <f t="shared" si="2"/>
        <v>	(142, 'BDI'),</v>
      </c>
    </row>
    <row r="145" spans="7:10">
      <c r="G145" s="32">
        <v>143</v>
      </c>
      <c r="H145" s="31" t="s">
        <v>627</v>
      </c>
      <c r="I145" s="98" t="s">
        <v>628</v>
      </c>
      <c r="J145" t="str">
        <f t="shared" si="2"/>
        <v>	(143, 'ETH'),</v>
      </c>
    </row>
    <row r="146" spans="7:10">
      <c r="G146" s="32">
        <v>144</v>
      </c>
      <c r="H146" s="31" t="s">
        <v>629</v>
      </c>
      <c r="I146" s="98" t="s">
        <v>630</v>
      </c>
      <c r="J146" t="str">
        <f t="shared" si="2"/>
        <v>	(144, 'DOM'),</v>
      </c>
    </row>
    <row r="147" spans="7:10">
      <c r="G147" s="32">
        <v>145</v>
      </c>
      <c r="H147" s="31" t="s">
        <v>631</v>
      </c>
      <c r="I147" s="98" t="s">
        <v>632</v>
      </c>
      <c r="J147" t="str">
        <f t="shared" si="2"/>
        <v>	(145, 'YEM'),</v>
      </c>
    </row>
    <row r="148" spans="7:10">
      <c r="G148" s="32">
        <v>146</v>
      </c>
      <c r="H148" s="31" t="s">
        <v>633</v>
      </c>
      <c r="I148" s="98" t="s">
        <v>634</v>
      </c>
      <c r="J148" t="str">
        <f t="shared" si="2"/>
        <v>	(146, 'LES'),</v>
      </c>
    </row>
    <row r="149" spans="7:10">
      <c r="G149" s="32">
        <v>147</v>
      </c>
      <c r="H149" s="31" t="s">
        <v>635</v>
      </c>
      <c r="I149" s="98" t="s">
        <v>636</v>
      </c>
      <c r="J149" t="str">
        <f t="shared" si="2"/>
        <v>	(147, 'BOT'),</v>
      </c>
    </row>
    <row r="150" spans="7:10">
      <c r="G150" s="32">
        <v>148</v>
      </c>
      <c r="H150" s="31" t="s">
        <v>637</v>
      </c>
      <c r="I150" s="98" t="s">
        <v>638</v>
      </c>
      <c r="J150" t="str">
        <f t="shared" si="2"/>
        <v>	(148, 'SIN'),</v>
      </c>
    </row>
    <row r="151" spans="7:10">
      <c r="G151" s="32">
        <v>149</v>
      </c>
      <c r="H151" s="31" t="s">
        <v>639</v>
      </c>
      <c r="I151" s="98" t="s">
        <v>640</v>
      </c>
      <c r="J151" t="str">
        <f t="shared" si="2"/>
        <v>	(149, 'LTU'),</v>
      </c>
    </row>
    <row r="152" spans="7:10">
      <c r="G152" s="32">
        <v>150</v>
      </c>
      <c r="H152" s="31" t="s">
        <v>641</v>
      </c>
      <c r="I152" s="98" t="s">
        <v>642</v>
      </c>
      <c r="J152" t="str">
        <f t="shared" si="2"/>
        <v>	(150, 'GUY'),</v>
      </c>
    </row>
    <row r="153" spans="7:10">
      <c r="G153" s="32">
        <v>151</v>
      </c>
      <c r="H153" s="31" t="s">
        <v>643</v>
      </c>
      <c r="I153" s="98" t="s">
        <v>644</v>
      </c>
      <c r="J153" t="str">
        <f t="shared" si="2"/>
        <v>	(151, 'NCL'),</v>
      </c>
    </row>
    <row r="154" spans="7:10">
      <c r="G154" s="32">
        <v>152</v>
      </c>
      <c r="H154" s="31" t="s">
        <v>645</v>
      </c>
      <c r="I154" s="98" t="s">
        <v>646</v>
      </c>
      <c r="J154" t="str">
        <f t="shared" si="2"/>
        <v>	(152, 'KNA'),</v>
      </c>
    </row>
    <row r="155" spans="7:10">
      <c r="G155" s="32">
        <v>153</v>
      </c>
      <c r="H155" s="31" t="s">
        <v>647</v>
      </c>
      <c r="I155" s="98" t="s">
        <v>648</v>
      </c>
      <c r="J155" t="str">
        <f t="shared" si="2"/>
        <v>	(153, 'SOL'),</v>
      </c>
    </row>
    <row r="156" spans="7:10">
      <c r="G156" s="32">
        <v>154</v>
      </c>
      <c r="H156" s="31" t="s">
        <v>649</v>
      </c>
      <c r="I156" s="98" t="s">
        <v>650</v>
      </c>
      <c r="J156" t="str">
        <f t="shared" si="2"/>
        <v>	(154, 'PUR'),</v>
      </c>
    </row>
    <row r="157" spans="7:10">
      <c r="G157" s="32">
        <v>155</v>
      </c>
      <c r="H157" s="31" t="s">
        <v>651</v>
      </c>
      <c r="I157" s="98" t="s">
        <v>652</v>
      </c>
      <c r="J157" t="str">
        <f t="shared" si="2"/>
        <v>	(155, 'FIJ'),</v>
      </c>
    </row>
    <row r="158" spans="7:10">
      <c r="G158" s="32">
        <v>156</v>
      </c>
      <c r="H158" s="31" t="s">
        <v>653</v>
      </c>
      <c r="I158" s="98" t="s">
        <v>654</v>
      </c>
      <c r="J158" t="str">
        <f t="shared" si="2"/>
        <v>	(156, 'HKG'),</v>
      </c>
    </row>
    <row r="159" spans="7:10">
      <c r="G159" s="32">
        <v>157</v>
      </c>
      <c r="H159" s="31" t="s">
        <v>655</v>
      </c>
      <c r="I159" s="98" t="s">
        <v>656</v>
      </c>
      <c r="J159" t="str">
        <f t="shared" si="2"/>
        <v>	(157, 'TAH'),</v>
      </c>
    </row>
    <row r="160" spans="7:10">
      <c r="G160" s="32">
        <v>158</v>
      </c>
      <c r="H160" s="31" t="s">
        <v>657</v>
      </c>
      <c r="I160" s="98" t="s">
        <v>658</v>
      </c>
      <c r="J160" t="str">
        <f t="shared" si="2"/>
        <v>	(158, 'MYA'),</v>
      </c>
    </row>
    <row r="161" spans="7:10">
      <c r="G161" s="32">
        <v>159</v>
      </c>
      <c r="H161" s="31" t="s">
        <v>659</v>
      </c>
      <c r="I161" s="98" t="s">
        <v>660</v>
      </c>
      <c r="J161" t="str">
        <f t="shared" si="2"/>
        <v>	(159, 'MDA'),</v>
      </c>
    </row>
    <row r="162" spans="7:10">
      <c r="G162" s="32">
        <v>160</v>
      </c>
      <c r="H162" s="31" t="s">
        <v>661</v>
      </c>
      <c r="I162" s="98" t="s">
        <v>662</v>
      </c>
      <c r="J162" t="str">
        <f t="shared" si="2"/>
        <v>	(160, 'VAN'),</v>
      </c>
    </row>
    <row r="163" spans="7:10">
      <c r="G163" s="32">
        <v>161</v>
      </c>
      <c r="H163" s="31" t="s">
        <v>663</v>
      </c>
      <c r="I163" s="98" t="s">
        <v>664</v>
      </c>
      <c r="J163" t="str">
        <f t="shared" si="2"/>
        <v>	(161, 'MLT'),</v>
      </c>
    </row>
    <row r="164" spans="7:10">
      <c r="G164" s="32">
        <v>162</v>
      </c>
      <c r="H164" s="31" t="s">
        <v>665</v>
      </c>
      <c r="I164" s="98" t="s">
        <v>666</v>
      </c>
      <c r="J164" t="str">
        <f t="shared" si="2"/>
        <v>	(162, 'ATG'),</v>
      </c>
    </row>
    <row r="165" spans="7:10">
      <c r="G165" s="32">
        <v>163</v>
      </c>
      <c r="H165" s="31" t="s">
        <v>667</v>
      </c>
      <c r="I165" s="98" t="s">
        <v>668</v>
      </c>
      <c r="J165" t="str">
        <f t="shared" si="2"/>
        <v>	(163, 'GRN'),</v>
      </c>
    </row>
    <row r="166" spans="7:10">
      <c r="G166" s="32">
        <v>164</v>
      </c>
      <c r="H166" s="31" t="s">
        <v>669</v>
      </c>
      <c r="I166" s="98" t="s">
        <v>670</v>
      </c>
      <c r="J166" t="str">
        <f t="shared" si="2"/>
        <v>	(164, 'CUB'),</v>
      </c>
    </row>
    <row r="167" spans="7:10">
      <c r="G167" s="32">
        <v>165</v>
      </c>
      <c r="H167" s="31" t="s">
        <v>671</v>
      </c>
      <c r="I167" s="98" t="s">
        <v>672</v>
      </c>
      <c r="J167" t="str">
        <f t="shared" si="2"/>
        <v>	(165, 'SWZ'),</v>
      </c>
    </row>
    <row r="168" spans="7:10">
      <c r="G168" s="32">
        <v>166</v>
      </c>
      <c r="H168" s="31" t="s">
        <v>673</v>
      </c>
      <c r="I168" s="98" t="s">
        <v>674</v>
      </c>
      <c r="J168" t="str">
        <f t="shared" si="2"/>
        <v>	(166, 'LCA'),</v>
      </c>
    </row>
    <row r="169" spans="7:10">
      <c r="G169" s="32">
        <v>167</v>
      </c>
      <c r="H169" s="31" t="s">
        <v>675</v>
      </c>
      <c r="I169" s="98" t="s">
        <v>676</v>
      </c>
      <c r="J169" t="str">
        <f t="shared" si="2"/>
        <v>	(167, 'BMU'),</v>
      </c>
    </row>
    <row r="170" spans="7:10">
      <c r="G170" s="32">
        <v>168</v>
      </c>
      <c r="H170" s="31" t="s">
        <v>677</v>
      </c>
      <c r="I170" s="98" t="s">
        <v>678</v>
      </c>
      <c r="J170" t="str">
        <f t="shared" si="2"/>
        <v>	(168, 'PNG'),</v>
      </c>
    </row>
    <row r="171" spans="7:10">
      <c r="G171" s="32">
        <v>169</v>
      </c>
      <c r="H171" s="31" t="s">
        <v>679</v>
      </c>
      <c r="I171" s="98" t="s">
        <v>680</v>
      </c>
      <c r="J171" t="str">
        <f t="shared" si="2"/>
        <v>	(169, 'SSD'),</v>
      </c>
    </row>
    <row r="172" spans="7:10">
      <c r="G172" s="32">
        <v>170</v>
      </c>
      <c r="H172" s="31" t="s">
        <v>681</v>
      </c>
      <c r="I172" s="98" t="s">
        <v>682</v>
      </c>
      <c r="J172" t="str">
        <f t="shared" si="2"/>
        <v>	(170, 'VCT'),</v>
      </c>
    </row>
    <row r="173" spans="7:10">
      <c r="G173" s="32">
        <v>171</v>
      </c>
      <c r="H173" s="31" t="s">
        <v>683</v>
      </c>
      <c r="I173" s="98" t="s">
        <v>684</v>
      </c>
      <c r="J173" t="str">
        <f t="shared" si="2"/>
        <v>	(171, 'AFG'),</v>
      </c>
    </row>
    <row r="174" spans="7:10">
      <c r="G174" s="32">
        <v>172</v>
      </c>
      <c r="H174" s="31" t="s">
        <v>685</v>
      </c>
      <c r="I174" s="98" t="s">
        <v>686</v>
      </c>
      <c r="J174" t="str">
        <f t="shared" si="2"/>
        <v>	(172, 'AND'),</v>
      </c>
    </row>
    <row r="175" spans="7:10">
      <c r="G175" s="32">
        <v>173</v>
      </c>
      <c r="H175" s="31" t="s">
        <v>687</v>
      </c>
      <c r="I175" s="98" t="s">
        <v>688</v>
      </c>
      <c r="J175" t="str">
        <f t="shared" si="2"/>
        <v>	(173, 'MDV'),</v>
      </c>
    </row>
    <row r="176" spans="7:10">
      <c r="G176" s="32">
        <v>174</v>
      </c>
      <c r="H176" s="31" t="s">
        <v>689</v>
      </c>
      <c r="I176" s="98" t="s">
        <v>690</v>
      </c>
      <c r="J176" t="str">
        <f t="shared" si="2"/>
        <v>	(174, 'TPE'),</v>
      </c>
    </row>
    <row r="177" spans="7:10">
      <c r="G177" s="32">
        <v>175</v>
      </c>
      <c r="H177" s="31" t="s">
        <v>691</v>
      </c>
      <c r="I177" s="98" t="s">
        <v>692</v>
      </c>
      <c r="J177" t="str">
        <f t="shared" si="2"/>
        <v>	(175, 'CAM'),</v>
      </c>
    </row>
    <row r="178" spans="7:10">
      <c r="G178" s="32">
        <v>176</v>
      </c>
      <c r="H178" s="31" t="s">
        <v>693</v>
      </c>
      <c r="I178" s="98" t="s">
        <v>694</v>
      </c>
      <c r="J178" t="str">
        <f t="shared" si="2"/>
        <v>	(176, 'MSR'),</v>
      </c>
    </row>
    <row r="179" spans="7:10">
      <c r="G179" s="32">
        <v>177</v>
      </c>
      <c r="H179" s="31" t="s">
        <v>695</v>
      </c>
      <c r="I179" s="98" t="s">
        <v>696</v>
      </c>
      <c r="J179" t="str">
        <f t="shared" si="2"/>
        <v>	(177, 'NEP'),</v>
      </c>
    </row>
    <row r="180" spans="7:10">
      <c r="G180" s="32">
        <v>178</v>
      </c>
      <c r="H180" s="31" t="s">
        <v>697</v>
      </c>
      <c r="I180" s="98" t="s">
        <v>698</v>
      </c>
      <c r="J180" t="str">
        <f t="shared" si="2"/>
        <v>	(178, 'MRI'),</v>
      </c>
    </row>
    <row r="181" spans="7:10">
      <c r="G181" s="32">
        <v>179</v>
      </c>
      <c r="H181" s="31" t="s">
        <v>699</v>
      </c>
      <c r="I181" s="98" t="s">
        <v>700</v>
      </c>
      <c r="J181" t="str">
        <f t="shared" si="2"/>
        <v>	(179, 'BAR'),</v>
      </c>
    </row>
    <row r="182" spans="7:10">
      <c r="G182" s="32">
        <v>180</v>
      </c>
      <c r="H182" s="31" t="s">
        <v>701</v>
      </c>
      <c r="I182" s="98" t="s">
        <v>702</v>
      </c>
      <c r="J182" t="str">
        <f t="shared" si="2"/>
        <v>	(180, 'BLZ'),</v>
      </c>
    </row>
    <row r="183" spans="7:10">
      <c r="G183" s="32">
        <v>181</v>
      </c>
      <c r="H183" s="31" t="s">
        <v>703</v>
      </c>
      <c r="I183" s="98" t="s">
        <v>704</v>
      </c>
      <c r="J183" t="str">
        <f t="shared" si="2"/>
        <v>	(181, 'BAN'),</v>
      </c>
    </row>
    <row r="184" spans="7:10">
      <c r="G184" s="32">
        <v>182</v>
      </c>
      <c r="H184" s="31" t="s">
        <v>705</v>
      </c>
      <c r="I184" s="98" t="s">
        <v>706</v>
      </c>
      <c r="J184" t="str">
        <f t="shared" si="2"/>
        <v>	(182, 'DMA'),</v>
      </c>
    </row>
    <row r="185" spans="7:10">
      <c r="G185" s="32">
        <v>183</v>
      </c>
      <c r="H185" s="31" t="s">
        <v>707</v>
      </c>
      <c r="I185" s="98" t="s">
        <v>708</v>
      </c>
      <c r="J185" t="str">
        <f t="shared" si="2"/>
        <v>	(183, 'CHA'),</v>
      </c>
    </row>
    <row r="186" spans="7:10">
      <c r="G186" s="32">
        <v>184</v>
      </c>
      <c r="H186" s="31" t="s">
        <v>709</v>
      </c>
      <c r="I186" s="98" t="s">
        <v>710</v>
      </c>
      <c r="J186" t="str">
        <f t="shared" si="2"/>
        <v>	(184, 'ERI'),</v>
      </c>
    </row>
    <row r="187" spans="7:10">
      <c r="G187" s="32">
        <v>185</v>
      </c>
      <c r="H187" s="31" t="s">
        <v>711</v>
      </c>
      <c r="I187" s="98" t="s">
        <v>712</v>
      </c>
      <c r="J187" t="str">
        <f t="shared" si="2"/>
        <v>	(185, 'LAO'),</v>
      </c>
    </row>
    <row r="188" spans="7:10">
      <c r="G188" s="32">
        <v>186</v>
      </c>
      <c r="H188" s="31" t="s">
        <v>713</v>
      </c>
      <c r="I188" s="98" t="s">
        <v>714</v>
      </c>
      <c r="J188" t="str">
        <f t="shared" si="2"/>
        <v>	(186, 'COK'),</v>
      </c>
    </row>
    <row r="189" spans="7:10">
      <c r="G189" s="32">
        <v>187</v>
      </c>
      <c r="H189" s="31" t="s">
        <v>715</v>
      </c>
      <c r="I189" s="98" t="s">
        <v>716</v>
      </c>
      <c r="J189" t="str">
        <f t="shared" si="2"/>
        <v>	(187, 'SRI'),</v>
      </c>
    </row>
    <row r="190" spans="7:10">
      <c r="G190" s="32">
        <v>188</v>
      </c>
      <c r="H190" s="31" t="s">
        <v>717</v>
      </c>
      <c r="I190" s="98" t="s">
        <v>718</v>
      </c>
      <c r="J190" t="str">
        <f t="shared" si="2"/>
        <v>	(188, 'SAM'),</v>
      </c>
    </row>
    <row r="191" spans="7:10">
      <c r="G191" s="32">
        <v>189</v>
      </c>
      <c r="H191" s="31" t="s">
        <v>719</v>
      </c>
      <c r="I191" s="98" t="s">
        <v>720</v>
      </c>
      <c r="J191" t="str">
        <f t="shared" si="2"/>
        <v>	(189, 'ARU'),</v>
      </c>
    </row>
    <row r="192" spans="7:10">
      <c r="G192" s="32">
        <v>190</v>
      </c>
      <c r="H192" s="31" t="s">
        <v>721</v>
      </c>
      <c r="I192" s="98" t="s">
        <v>722</v>
      </c>
      <c r="J192" t="str">
        <f t="shared" si="2"/>
        <v>	(190, 'MNG'),</v>
      </c>
    </row>
    <row r="193" spans="7:10">
      <c r="G193" s="32">
        <v>191</v>
      </c>
      <c r="H193" s="31" t="s">
        <v>723</v>
      </c>
      <c r="I193" s="98" t="s">
        <v>724</v>
      </c>
      <c r="J193" t="str">
        <f t="shared" si="2"/>
        <v>	(191, 'ASA'),</v>
      </c>
    </row>
    <row r="194" spans="7:10">
      <c r="G194" s="32">
        <v>192</v>
      </c>
      <c r="H194" s="31" t="s">
        <v>725</v>
      </c>
      <c r="I194" s="98" t="s">
        <v>726</v>
      </c>
      <c r="J194" t="str">
        <f t="shared" si="2"/>
        <v>	(192, 'BHU'),</v>
      </c>
    </row>
    <row r="195" spans="7:10">
      <c r="G195" s="32">
        <v>193</v>
      </c>
      <c r="H195" s="31" t="s">
        <v>727</v>
      </c>
      <c r="I195" s="98" t="s">
        <v>728</v>
      </c>
      <c r="J195" t="str">
        <f t="shared" ref="J195:J212" si="3">CHAR(9)&amp;"("&amp;G195&amp;", '"&amp;H195&amp;"'),"</f>
        <v>	(193, 'MAC'),</v>
      </c>
    </row>
    <row r="196" spans="7:10">
      <c r="G196" s="32">
        <v>194</v>
      </c>
      <c r="H196" s="31" t="s">
        <v>729</v>
      </c>
      <c r="I196" s="98" t="s">
        <v>730</v>
      </c>
      <c r="J196" t="str">
        <f t="shared" si="3"/>
        <v>	(194, 'BRU'),</v>
      </c>
    </row>
    <row r="197" spans="7:10">
      <c r="G197" s="32">
        <v>195</v>
      </c>
      <c r="H197" s="31" t="s">
        <v>731</v>
      </c>
      <c r="I197" s="98" t="s">
        <v>732</v>
      </c>
      <c r="J197" t="str">
        <f t="shared" si="3"/>
        <v>	(195, 'STP'),</v>
      </c>
    </row>
    <row r="198" spans="7:10">
      <c r="G198" s="32">
        <v>196</v>
      </c>
      <c r="H198" s="31" t="s">
        <v>733</v>
      </c>
      <c r="I198" s="98" t="s">
        <v>734</v>
      </c>
      <c r="J198" t="str">
        <f t="shared" si="3"/>
        <v>	(196, 'DJI'),</v>
      </c>
    </row>
    <row r="199" spans="7:10">
      <c r="G199" s="32">
        <v>197</v>
      </c>
      <c r="H199" s="31" t="s">
        <v>735</v>
      </c>
      <c r="I199" s="98" t="s">
        <v>736</v>
      </c>
      <c r="J199" t="str">
        <f t="shared" si="3"/>
        <v>	(197, 'CAY'),</v>
      </c>
    </row>
    <row r="200" spans="7:10">
      <c r="G200" s="32">
        <v>198</v>
      </c>
      <c r="H200" s="31" t="s">
        <v>737</v>
      </c>
      <c r="I200" s="98" t="s">
        <v>738</v>
      </c>
      <c r="J200" t="str">
        <f t="shared" si="3"/>
        <v>	(198, 'PAK'),</v>
      </c>
    </row>
    <row r="201" spans="7:10">
      <c r="G201" s="32">
        <v>199</v>
      </c>
      <c r="H201" s="31" t="s">
        <v>739</v>
      </c>
      <c r="I201" s="98" t="s">
        <v>740</v>
      </c>
      <c r="J201" t="str">
        <f t="shared" si="3"/>
        <v>	(199, 'SOM'),</v>
      </c>
    </row>
    <row r="202" spans="7:10">
      <c r="G202" s="32">
        <v>200</v>
      </c>
      <c r="H202" s="31" t="s">
        <v>741</v>
      </c>
      <c r="I202" s="98" t="s">
        <v>742</v>
      </c>
      <c r="J202" t="str">
        <f t="shared" si="3"/>
        <v>	(200, 'TGA'),</v>
      </c>
    </row>
    <row r="203" spans="7:10">
      <c r="G203" s="32">
        <v>201</v>
      </c>
      <c r="H203" s="31" t="s">
        <v>743</v>
      </c>
      <c r="I203" s="98" t="s">
        <v>744</v>
      </c>
      <c r="J203" t="str">
        <f t="shared" si="3"/>
        <v>	(201, 'TLS'),</v>
      </c>
    </row>
    <row r="204" spans="7:10">
      <c r="G204" s="32">
        <v>202</v>
      </c>
      <c r="H204" s="31" t="s">
        <v>745</v>
      </c>
      <c r="I204" s="98" t="s">
        <v>746</v>
      </c>
      <c r="J204" t="str">
        <f t="shared" si="3"/>
        <v>	(202, 'GIB'),</v>
      </c>
    </row>
    <row r="205" spans="7:10">
      <c r="G205" s="32">
        <v>203</v>
      </c>
      <c r="H205" s="31" t="s">
        <v>747</v>
      </c>
      <c r="I205" s="98" t="s">
        <v>748</v>
      </c>
      <c r="J205" t="str">
        <f t="shared" si="3"/>
        <v>	(203, 'GUM'),</v>
      </c>
    </row>
    <row r="206" spans="7:10">
      <c r="G206" s="32">
        <v>204</v>
      </c>
      <c r="H206" s="31" t="s">
        <v>749</v>
      </c>
      <c r="I206" s="98" t="s">
        <v>750</v>
      </c>
      <c r="J206" t="str">
        <f t="shared" si="3"/>
        <v>	(204, 'SEY'),</v>
      </c>
    </row>
    <row r="207" spans="7:10">
      <c r="G207" s="32">
        <v>205</v>
      </c>
      <c r="H207" s="31" t="s">
        <v>751</v>
      </c>
      <c r="I207" s="98" t="s">
        <v>752</v>
      </c>
      <c r="J207" t="str">
        <f t="shared" si="3"/>
        <v>	(205, 'TCA'),</v>
      </c>
    </row>
    <row r="208" spans="7:10">
      <c r="G208" s="32">
        <v>206</v>
      </c>
      <c r="H208" s="31" t="s">
        <v>753</v>
      </c>
      <c r="I208" s="98" t="s">
        <v>754</v>
      </c>
      <c r="J208" t="str">
        <f t="shared" si="3"/>
        <v>	(206, 'LIE'),</v>
      </c>
    </row>
    <row r="209" spans="7:10">
      <c r="G209" s="32">
        <v>207</v>
      </c>
      <c r="H209" s="31" t="s">
        <v>755</v>
      </c>
      <c r="I209" s="98" t="s">
        <v>756</v>
      </c>
      <c r="J209" t="str">
        <f t="shared" si="3"/>
        <v>	(207, 'BAH'),</v>
      </c>
    </row>
    <row r="210" spans="7:10">
      <c r="G210" s="32">
        <v>208</v>
      </c>
      <c r="H210" s="31" t="s">
        <v>757</v>
      </c>
      <c r="I210" s="98" t="s">
        <v>758</v>
      </c>
      <c r="J210" t="str">
        <f t="shared" si="3"/>
        <v>	(208, 'VIR'),</v>
      </c>
    </row>
    <row r="211" spans="7:10">
      <c r="G211" s="32">
        <v>209</v>
      </c>
      <c r="H211" s="31" t="s">
        <v>759</v>
      </c>
      <c r="I211" s="98" t="s">
        <v>760</v>
      </c>
      <c r="J211" t="str">
        <f t="shared" si="3"/>
        <v>	(209, 'VGB'),</v>
      </c>
    </row>
    <row r="212" spans="7:10">
      <c r="G212" s="32">
        <v>210</v>
      </c>
      <c r="H212" s="31" t="s">
        <v>761</v>
      </c>
      <c r="I212" s="98" t="s">
        <v>762</v>
      </c>
      <c r="J212" t="str">
        <f t="shared" si="3"/>
        <v>	(210, 'AIA'),</v>
      </c>
    </row>
    <row r="213" spans="7:10">
      <c r="G213" s="32">
        <v>211</v>
      </c>
      <c r="H213" s="31" t="s">
        <v>763</v>
      </c>
      <c r="I213" s="98" t="s">
        <v>764</v>
      </c>
      <c r="J213" t="str">
        <f>CHAR(9)&amp;"("&amp;G213&amp;", '"&amp;H213&amp;"')"</f>
        <v>(211, 'SMR')</v>
      </c>
    </row>
    <row r="214" spans="7:10">
      <c r="J214" t="s">
        <v>289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6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10" customWidth="1"/>
    <col min="7" max="7" width="32.1111111111111" customWidth="1"/>
  </cols>
  <sheetData>
    <row r="2" spans="2:10">
      <c r="B2" s="1" t="s">
        <v>46</v>
      </c>
      <c r="C2" s="1"/>
      <c r="D2" s="1"/>
      <c r="E2" s="2" t="s">
        <v>47</v>
      </c>
      <c r="I2" t="s">
        <v>765</v>
      </c>
    </row>
    <row r="3" spans="2:10">
      <c r="B3" s="3" t="s">
        <v>33</v>
      </c>
      <c r="C3" s="3"/>
      <c r="D3" s="3"/>
      <c r="E3" s="4" t="s">
        <v>56</v>
      </c>
      <c r="J3" t="s">
        <v>766</v>
      </c>
    </row>
    <row r="4" spans="2:10">
      <c r="B4" s="1" t="s">
        <v>48</v>
      </c>
      <c r="C4" s="1"/>
      <c r="D4" s="1"/>
      <c r="E4" s="1"/>
      <c r="I4" t="s">
        <v>767</v>
      </c>
    </row>
    <row r="5" spans="2:10">
      <c r="B5" s="3" t="s">
        <v>768</v>
      </c>
      <c r="C5" s="3"/>
      <c r="D5" s="3"/>
      <c r="E5" s="3"/>
      <c r="J5" t="s">
        <v>769</v>
      </c>
    </row>
    <row r="6" spans="2:10">
      <c r="J6" t="s">
        <v>770</v>
      </c>
    </row>
    <row r="7" spans="2:10">
      <c r="B7" s="5" t="s">
        <v>79</v>
      </c>
      <c r="C7" s="5" t="s">
        <v>80</v>
      </c>
      <c r="D7" s="5" t="s">
        <v>771</v>
      </c>
      <c r="E7" s="5" t="s">
        <v>48</v>
      </c>
      <c r="F7" s="5" t="s">
        <v>772</v>
      </c>
      <c r="G7" s="107" t="s">
        <v>773</v>
      </c>
      <c r="J7" t="s">
        <v>774</v>
      </c>
    </row>
    <row r="8" spans="2:10">
      <c r="B8" s="35" t="s">
        <v>405</v>
      </c>
      <c r="C8" s="4"/>
      <c r="D8" s="4"/>
      <c r="E8" s="35" t="s">
        <v>420</v>
      </c>
      <c r="F8" s="35" t="s">
        <v>775</v>
      </c>
      <c r="G8" t="str">
        <f t="shared" ref="G8:G26" si="0">SUBSTITUTE($G$7,"X",F8)</f>
        <v>'グループ' AS 'グループ',</v>
      </c>
      <c r="J8" t="s">
        <v>776</v>
      </c>
    </row>
    <row r="9" spans="2:10">
      <c r="B9" s="35" t="s">
        <v>777</v>
      </c>
      <c r="C9" s="4"/>
      <c r="D9" s="4"/>
      <c r="E9" s="35" t="s">
        <v>778</v>
      </c>
      <c r="F9" s="35" t="s">
        <v>778</v>
      </c>
      <c r="G9" t="str">
        <f t="shared" si="0"/>
        <v>'順位' AS '順位',</v>
      </c>
      <c r="I9" t="s">
        <v>779</v>
      </c>
    </row>
    <row r="10" spans="2:10">
      <c r="B10" s="35" t="s">
        <v>780</v>
      </c>
      <c r="C10" s="4"/>
      <c r="D10" s="4"/>
      <c r="E10" s="35" t="s">
        <v>781</v>
      </c>
      <c r="F10" s="35" t="s">
        <v>782</v>
      </c>
      <c r="G10" t="str">
        <f t="shared" si="0"/>
        <v>'結果' AS '結果',</v>
      </c>
      <c r="J10" t="s">
        <v>783</v>
      </c>
    </row>
    <row r="11" spans="2:10">
      <c r="B11" s="35" t="s">
        <v>433</v>
      </c>
      <c r="C11" s="4"/>
      <c r="D11" s="4"/>
      <c r="E11" s="35" t="s">
        <v>435</v>
      </c>
      <c r="F11" s="35" t="s">
        <v>784</v>
      </c>
      <c r="G11" t="str">
        <f t="shared" si="0"/>
        <v>'チーム' AS 'チーム',</v>
      </c>
      <c r="J11" t="s">
        <v>785</v>
      </c>
    </row>
    <row r="12" spans="2:10">
      <c r="B12" s="35" t="s">
        <v>786</v>
      </c>
      <c r="C12" s="4"/>
      <c r="D12" s="4"/>
      <c r="E12" s="35" t="s">
        <v>787</v>
      </c>
      <c r="F12" s="35" t="s">
        <v>788</v>
      </c>
      <c r="G12" t="str">
        <f t="shared" si="0"/>
        <v>'結果１' AS '結果１',</v>
      </c>
      <c r="J12" t="s">
        <v>299</v>
      </c>
    </row>
    <row r="13" spans="2:10">
      <c r="B13" s="35" t="s">
        <v>789</v>
      </c>
      <c r="C13" s="4"/>
      <c r="D13" s="4"/>
      <c r="E13" s="35" t="s">
        <v>790</v>
      </c>
      <c r="F13" s="35" t="s">
        <v>791</v>
      </c>
      <c r="G13" t="str">
        <f t="shared" si="0"/>
        <v>'結果２' AS '結果２',</v>
      </c>
      <c r="J13" t="s">
        <v>792</v>
      </c>
    </row>
    <row r="14" spans="2:10">
      <c r="B14" s="35" t="s">
        <v>793</v>
      </c>
      <c r="C14" s="4"/>
      <c r="D14" s="4"/>
      <c r="E14" s="35" t="s">
        <v>794</v>
      </c>
      <c r="F14" s="35" t="s">
        <v>795</v>
      </c>
      <c r="G14" t="str">
        <f t="shared" si="0"/>
        <v>'結果３' AS '結果３',</v>
      </c>
      <c r="I14" t="s">
        <v>796</v>
      </c>
    </row>
    <row r="15" spans="2:10">
      <c r="B15" s="35" t="s">
        <v>797</v>
      </c>
      <c r="C15" s="4"/>
      <c r="D15" s="4"/>
      <c r="E15" s="35" t="s">
        <v>798</v>
      </c>
      <c r="F15" s="35" t="s">
        <v>799</v>
      </c>
      <c r="G15" t="str">
        <f t="shared" si="0"/>
        <v>'結果４' AS '結果４',</v>
      </c>
      <c r="J15" t="s">
        <v>55</v>
      </c>
    </row>
    <row r="16" spans="2:10">
      <c r="B16" s="35" t="s">
        <v>800</v>
      </c>
      <c r="C16" s="4"/>
      <c r="D16" s="4"/>
      <c r="E16" s="35" t="s">
        <v>801</v>
      </c>
      <c r="F16" s="35" t="s">
        <v>802</v>
      </c>
      <c r="G16" t="str">
        <f t="shared" si="0"/>
        <v>'試合数' AS '試合数',</v>
      </c>
    </row>
    <row r="17" spans="2:7">
      <c r="B17" s="35" t="s">
        <v>803</v>
      </c>
      <c r="C17" s="4"/>
      <c r="D17" s="4"/>
      <c r="E17" s="35" t="s">
        <v>804</v>
      </c>
      <c r="F17" s="35" t="s">
        <v>805</v>
      </c>
      <c r="G17" t="str">
        <f t="shared" si="0"/>
        <v>'勝' AS '勝',</v>
      </c>
    </row>
    <row r="18" spans="2:7">
      <c r="B18" s="35" t="s">
        <v>806</v>
      </c>
      <c r="C18" s="4"/>
      <c r="D18" s="4"/>
      <c r="E18" s="35" t="s">
        <v>807</v>
      </c>
      <c r="F18" s="35" t="s">
        <v>808</v>
      </c>
      <c r="G18" t="str">
        <f t="shared" si="0"/>
        <v>'分' AS '分',</v>
      </c>
    </row>
    <row r="19" spans="2:7">
      <c r="B19" s="35" t="s">
        <v>809</v>
      </c>
      <c r="C19" s="4"/>
      <c r="D19" s="4"/>
      <c r="E19" s="35" t="s">
        <v>810</v>
      </c>
      <c r="F19" s="35" t="s">
        <v>811</v>
      </c>
      <c r="G19" t="str">
        <f t="shared" si="0"/>
        <v>'負' AS '負',</v>
      </c>
    </row>
    <row r="20" spans="2:7">
      <c r="B20" s="35" t="s">
        <v>812</v>
      </c>
      <c r="C20" s="4"/>
      <c r="D20" s="4"/>
      <c r="E20" s="35" t="s">
        <v>813</v>
      </c>
      <c r="F20" s="35" t="s">
        <v>813</v>
      </c>
      <c r="G20" t="str">
        <f t="shared" si="0"/>
        <v>'総得点' AS '総得点',</v>
      </c>
    </row>
    <row r="21" spans="2:7">
      <c r="B21" s="35" t="s">
        <v>814</v>
      </c>
      <c r="C21" s="4"/>
      <c r="D21" s="4"/>
      <c r="E21" s="35" t="s">
        <v>815</v>
      </c>
      <c r="F21" s="35" t="s">
        <v>815</v>
      </c>
      <c r="G21" t="str">
        <f t="shared" si="0"/>
        <v>'総失点' AS '総失点',</v>
      </c>
    </row>
    <row r="22" spans="2:7">
      <c r="B22" s="35" t="s">
        <v>816</v>
      </c>
      <c r="C22" s="4"/>
      <c r="D22" s="4"/>
      <c r="E22" s="35" t="s">
        <v>817</v>
      </c>
      <c r="F22" s="35" t="s">
        <v>817</v>
      </c>
      <c r="G22" t="str">
        <f t="shared" si="0"/>
        <v>'得失点差' AS '得失点差',</v>
      </c>
    </row>
    <row r="23" spans="2:7">
      <c r="B23" s="35" t="s">
        <v>293</v>
      </c>
      <c r="C23" s="35"/>
      <c r="D23" s="35"/>
      <c r="E23" s="35" t="s">
        <v>325</v>
      </c>
      <c r="F23" s="35" t="s">
        <v>818</v>
      </c>
      <c r="G23" t="str">
        <f t="shared" si="0"/>
        <v>'TCS' AS 'TCS',</v>
      </c>
    </row>
    <row r="24" spans="2:7">
      <c r="B24" s="35" t="s">
        <v>819</v>
      </c>
      <c r="C24" s="4"/>
      <c r="D24" s="4"/>
      <c r="E24" s="35" t="s">
        <v>820</v>
      </c>
      <c r="F24" s="35" t="s">
        <v>820</v>
      </c>
      <c r="G24" t="str">
        <f t="shared" si="0"/>
        <v>'勝ち点' AS '勝ち点',</v>
      </c>
    </row>
    <row r="25" spans="2:7">
      <c r="B25" s="35" t="s">
        <v>436</v>
      </c>
      <c r="C25" s="4"/>
      <c r="D25" s="4"/>
      <c r="E25" s="35" t="s">
        <v>55</v>
      </c>
      <c r="F25" s="35" t="s">
        <v>55</v>
      </c>
      <c r="G25" t="str">
        <f t="shared" si="0"/>
        <v>'FIFAランク' AS 'FIFAランク',</v>
      </c>
    </row>
    <row r="26" spans="2:7">
      <c r="B26" s="35" t="s">
        <v>777</v>
      </c>
      <c r="C26" s="4"/>
      <c r="D26" s="4"/>
      <c r="E26" s="35" t="s">
        <v>821</v>
      </c>
      <c r="F26" s="35" t="s">
        <v>822</v>
      </c>
      <c r="G26" t="str">
        <f t="shared" si="0"/>
        <v>'3位内順位' AS '3位内順位',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T63"/>
  <sheetViews>
    <sheetView workbookViewId="0">
      <selection activeCell="A1" sqref="A1"/>
    </sheetView>
  </sheetViews>
  <sheetFormatPr defaultColWidth="8.88888888888889" defaultRowHeight="18.75"/>
  <cols>
    <col min="1" max="1" width="3.77777777777778" style="10" customWidth="1"/>
    <col min="2" max="2" width="8.11111111111111" style="10" customWidth="1"/>
    <col min="3" max="4" width="4.77777777777778" style="10" customWidth="1"/>
    <col min="5" max="5" width="22.3333333333333" style="54" customWidth="1"/>
    <col min="6" max="10" width="6.44444444444444" style="10" customWidth="1"/>
    <col min="11" max="13" width="3.11111111111111" style="10" customWidth="1"/>
    <col min="14" max="15" width="6.44444444444444" style="10" customWidth="1"/>
    <col min="16" max="16" width="8.11111111111111" style="10" customWidth="1"/>
    <col min="17" max="17" width="4.77777777777778" style="10" customWidth="1"/>
    <col min="18" max="18" width="6.44444444444444" style="10" customWidth="1"/>
    <col min="19" max="19" width="10.6666666666667" style="10" customWidth="1"/>
    <col min="20" max="20" width="9.22222222222222" style="10" customWidth="1"/>
    <col min="21" max="16384" width="8.88888888888889" style="10"/>
  </cols>
  <sheetData>
    <row r="1" ht="19.5"/>
    <row r="2" ht="20.25" spans="2:20">
      <c r="B2" s="55" t="s">
        <v>775</v>
      </c>
      <c r="C2" s="56" t="s">
        <v>778</v>
      </c>
      <c r="D2" s="56" t="s">
        <v>782</v>
      </c>
      <c r="E2" s="56" t="s">
        <v>784</v>
      </c>
      <c r="F2" s="56" t="s">
        <v>788</v>
      </c>
      <c r="G2" s="56" t="s">
        <v>791</v>
      </c>
      <c r="H2" s="56" t="s">
        <v>795</v>
      </c>
      <c r="I2" s="56" t="s">
        <v>799</v>
      </c>
      <c r="J2" s="56" t="s">
        <v>802</v>
      </c>
      <c r="K2" s="56" t="s">
        <v>805</v>
      </c>
      <c r="L2" s="56" t="s">
        <v>808</v>
      </c>
      <c r="M2" s="56" t="s">
        <v>811</v>
      </c>
      <c r="N2" s="56" t="s">
        <v>813</v>
      </c>
      <c r="O2" s="56" t="s">
        <v>815</v>
      </c>
      <c r="P2" s="56" t="s">
        <v>817</v>
      </c>
      <c r="Q2" s="56" t="s">
        <v>818</v>
      </c>
      <c r="R2" s="56" t="s">
        <v>820</v>
      </c>
      <c r="S2" s="56" t="s">
        <v>55</v>
      </c>
      <c r="T2" s="57" t="s">
        <v>822</v>
      </c>
    </row>
    <row r="3" ht="19.5" spans="2:20">
      <c r="B3" s="58" t="s">
        <v>408</v>
      </c>
      <c r="C3" s="59" t="s">
        <v>778</v>
      </c>
      <c r="D3" s="59" t="s">
        <v>782</v>
      </c>
      <c r="E3" s="59" t="s">
        <v>784</v>
      </c>
      <c r="F3" s="59" t="s">
        <v>296</v>
      </c>
      <c r="G3" s="59" t="s">
        <v>300</v>
      </c>
      <c r="H3" s="59" t="s">
        <v>303</v>
      </c>
      <c r="I3" s="59" t="s">
        <v>306</v>
      </c>
      <c r="J3" s="59" t="s">
        <v>802</v>
      </c>
      <c r="K3" s="59" t="s">
        <v>805</v>
      </c>
      <c r="L3" s="59" t="s">
        <v>808</v>
      </c>
      <c r="M3" s="59" t="s">
        <v>811</v>
      </c>
      <c r="N3" s="59" t="s">
        <v>813</v>
      </c>
      <c r="O3" s="59" t="s">
        <v>815</v>
      </c>
      <c r="P3" s="59" t="s">
        <v>817</v>
      </c>
      <c r="Q3" s="59" t="s">
        <v>818</v>
      </c>
      <c r="R3" s="59" t="s">
        <v>820</v>
      </c>
      <c r="S3" s="59" t="s">
        <v>55</v>
      </c>
      <c r="T3" s="60" t="s">
        <v>822</v>
      </c>
    </row>
    <row r="4" ht="19.5" spans="2:20">
      <c r="B4" s="61" t="s">
        <v>408</v>
      </c>
      <c r="C4" s="62" t="s">
        <v>67</v>
      </c>
      <c r="D4" s="62" t="s">
        <v>823</v>
      </c>
      <c r="E4" s="63" t="s">
        <v>298</v>
      </c>
      <c r="F4" s="62" t="s">
        <v>824</v>
      </c>
      <c r="G4" s="62" t="s">
        <v>825</v>
      </c>
      <c r="H4" s="62" t="s">
        <v>826</v>
      </c>
      <c r="I4" s="62" t="s">
        <v>827</v>
      </c>
      <c r="J4" s="62" t="s">
        <v>828</v>
      </c>
      <c r="K4" s="62" t="s">
        <v>828</v>
      </c>
      <c r="L4" s="62" t="s">
        <v>829</v>
      </c>
      <c r="M4" s="62" t="s">
        <v>829</v>
      </c>
      <c r="N4" s="62" t="s">
        <v>830</v>
      </c>
      <c r="O4" s="62" t="s">
        <v>829</v>
      </c>
      <c r="P4" s="62" t="s">
        <v>830</v>
      </c>
      <c r="Q4" s="62" t="s">
        <v>831</v>
      </c>
      <c r="R4" s="62" t="s">
        <v>832</v>
      </c>
      <c r="S4" s="62" t="s">
        <v>833</v>
      </c>
      <c r="T4" s="64" t="s">
        <v>824</v>
      </c>
    </row>
    <row r="5" spans="2:20">
      <c r="B5" s="65" t="s">
        <v>408</v>
      </c>
      <c r="C5" s="66" t="s">
        <v>225</v>
      </c>
      <c r="D5" s="66" t="s">
        <v>823</v>
      </c>
      <c r="E5" s="67" t="s">
        <v>301</v>
      </c>
      <c r="F5" s="66" t="s">
        <v>834</v>
      </c>
      <c r="G5" s="66" t="s">
        <v>824</v>
      </c>
      <c r="H5" s="66" t="s">
        <v>826</v>
      </c>
      <c r="I5" s="66" t="s">
        <v>835</v>
      </c>
      <c r="J5" s="66" t="s">
        <v>828</v>
      </c>
      <c r="K5" s="66" t="s">
        <v>67</v>
      </c>
      <c r="L5" s="66" t="s">
        <v>67</v>
      </c>
      <c r="M5" s="66" t="s">
        <v>67</v>
      </c>
      <c r="N5" s="66" t="s">
        <v>225</v>
      </c>
      <c r="O5" s="66" t="s">
        <v>828</v>
      </c>
      <c r="P5" s="66" t="s">
        <v>836</v>
      </c>
      <c r="Q5" s="66" t="s">
        <v>837</v>
      </c>
      <c r="R5" s="66" t="s">
        <v>838</v>
      </c>
      <c r="S5" s="66" t="s">
        <v>839</v>
      </c>
      <c r="T5" s="68" t="s">
        <v>824</v>
      </c>
    </row>
    <row r="6" spans="2:20">
      <c r="B6" s="65" t="s">
        <v>408</v>
      </c>
      <c r="C6" s="66" t="s">
        <v>828</v>
      </c>
      <c r="D6" s="66" t="s">
        <v>840</v>
      </c>
      <c r="E6" s="67" t="s">
        <v>304</v>
      </c>
      <c r="F6" s="66" t="s">
        <v>841</v>
      </c>
      <c r="G6" s="66" t="s">
        <v>841</v>
      </c>
      <c r="H6" s="66" t="s">
        <v>824</v>
      </c>
      <c r="I6" s="66" t="s">
        <v>842</v>
      </c>
      <c r="J6" s="66" t="s">
        <v>828</v>
      </c>
      <c r="K6" s="66" t="s">
        <v>67</v>
      </c>
      <c r="L6" s="66" t="s">
        <v>829</v>
      </c>
      <c r="M6" s="66" t="s">
        <v>225</v>
      </c>
      <c r="N6" s="66" t="s">
        <v>225</v>
      </c>
      <c r="O6" s="66" t="s">
        <v>828</v>
      </c>
      <c r="P6" s="66" t="s">
        <v>836</v>
      </c>
      <c r="Q6" s="66" t="s">
        <v>843</v>
      </c>
      <c r="R6" s="66" t="s">
        <v>828</v>
      </c>
      <c r="S6" s="66" t="s">
        <v>844</v>
      </c>
      <c r="T6" s="68" t="s">
        <v>427</v>
      </c>
    </row>
    <row r="7" ht="19.5" spans="2:20">
      <c r="B7" s="69" t="s">
        <v>408</v>
      </c>
      <c r="C7" s="70" t="s">
        <v>838</v>
      </c>
      <c r="D7" s="70" t="s">
        <v>840</v>
      </c>
      <c r="E7" s="71" t="s">
        <v>307</v>
      </c>
      <c r="F7" s="70" t="s">
        <v>845</v>
      </c>
      <c r="G7" s="70" t="s">
        <v>835</v>
      </c>
      <c r="H7" s="70" t="s">
        <v>846</v>
      </c>
      <c r="I7" s="70" t="s">
        <v>824</v>
      </c>
      <c r="J7" s="70" t="s">
        <v>828</v>
      </c>
      <c r="K7" s="70" t="s">
        <v>829</v>
      </c>
      <c r="L7" s="70" t="s">
        <v>67</v>
      </c>
      <c r="M7" s="70" t="s">
        <v>225</v>
      </c>
      <c r="N7" s="70" t="s">
        <v>225</v>
      </c>
      <c r="O7" s="70" t="s">
        <v>830</v>
      </c>
      <c r="P7" s="70" t="s">
        <v>843</v>
      </c>
      <c r="Q7" s="70" t="s">
        <v>836</v>
      </c>
      <c r="R7" s="70" t="s">
        <v>67</v>
      </c>
      <c r="S7" s="70" t="s">
        <v>847</v>
      </c>
      <c r="T7" s="72" t="s">
        <v>824</v>
      </c>
    </row>
    <row r="8" ht="19.5" spans="2:20">
      <c r="B8" s="58" t="s">
        <v>410</v>
      </c>
      <c r="C8" s="59" t="s">
        <v>778</v>
      </c>
      <c r="D8" s="59" t="s">
        <v>782</v>
      </c>
      <c r="E8" s="59" t="s">
        <v>784</v>
      </c>
      <c r="F8" s="59" t="s">
        <v>326</v>
      </c>
      <c r="G8" s="59" t="s">
        <v>309</v>
      </c>
      <c r="H8" s="59" t="s">
        <v>312</v>
      </c>
      <c r="I8" s="59" t="s">
        <v>323</v>
      </c>
      <c r="J8" s="59" t="s">
        <v>802</v>
      </c>
      <c r="K8" s="59" t="s">
        <v>805</v>
      </c>
      <c r="L8" s="59" t="s">
        <v>808</v>
      </c>
      <c r="M8" s="59" t="s">
        <v>811</v>
      </c>
      <c r="N8" s="59" t="s">
        <v>813</v>
      </c>
      <c r="O8" s="59" t="s">
        <v>815</v>
      </c>
      <c r="P8" s="59" t="s">
        <v>817</v>
      </c>
      <c r="Q8" s="59" t="s">
        <v>818</v>
      </c>
      <c r="R8" s="59" t="s">
        <v>820</v>
      </c>
      <c r="S8" s="59" t="s">
        <v>55</v>
      </c>
      <c r="T8" s="60" t="s">
        <v>822</v>
      </c>
    </row>
    <row r="9" ht="19.5" spans="2:20">
      <c r="B9" s="61" t="s">
        <v>410</v>
      </c>
      <c r="C9" s="62" t="s">
        <v>67</v>
      </c>
      <c r="D9" s="62" t="s">
        <v>823</v>
      </c>
      <c r="E9" s="63" t="s">
        <v>327</v>
      </c>
      <c r="F9" s="62" t="s">
        <v>824</v>
      </c>
      <c r="G9" s="62" t="s">
        <v>842</v>
      </c>
      <c r="H9" s="62" t="s">
        <v>848</v>
      </c>
      <c r="I9" s="62" t="s">
        <v>835</v>
      </c>
      <c r="J9" s="62" t="s">
        <v>828</v>
      </c>
      <c r="K9" s="62" t="s">
        <v>225</v>
      </c>
      <c r="L9" s="62" t="s">
        <v>67</v>
      </c>
      <c r="M9" s="62" t="s">
        <v>829</v>
      </c>
      <c r="N9" s="62" t="s">
        <v>849</v>
      </c>
      <c r="O9" s="62" t="s">
        <v>828</v>
      </c>
      <c r="P9" s="62" t="s">
        <v>838</v>
      </c>
      <c r="Q9" s="62" t="s">
        <v>850</v>
      </c>
      <c r="R9" s="62" t="s">
        <v>849</v>
      </c>
      <c r="S9" s="62" t="s">
        <v>851</v>
      </c>
      <c r="T9" s="64" t="s">
        <v>824</v>
      </c>
    </row>
    <row r="10" spans="2:20">
      <c r="B10" s="65" t="s">
        <v>410</v>
      </c>
      <c r="C10" s="66" t="s">
        <v>225</v>
      </c>
      <c r="D10" s="66" t="s">
        <v>823</v>
      </c>
      <c r="E10" s="67" t="s">
        <v>310</v>
      </c>
      <c r="F10" s="66" t="s">
        <v>846</v>
      </c>
      <c r="G10" s="66" t="s">
        <v>824</v>
      </c>
      <c r="H10" s="66" t="s">
        <v>835</v>
      </c>
      <c r="I10" s="66" t="s">
        <v>852</v>
      </c>
      <c r="J10" s="66" t="s">
        <v>828</v>
      </c>
      <c r="K10" s="66" t="s">
        <v>67</v>
      </c>
      <c r="L10" s="66" t="s">
        <v>67</v>
      </c>
      <c r="M10" s="66" t="s">
        <v>67</v>
      </c>
      <c r="N10" s="66" t="s">
        <v>853</v>
      </c>
      <c r="O10" s="66" t="s">
        <v>828</v>
      </c>
      <c r="P10" s="66" t="s">
        <v>854</v>
      </c>
      <c r="Q10" s="66" t="s">
        <v>855</v>
      </c>
      <c r="R10" s="66" t="s">
        <v>838</v>
      </c>
      <c r="S10" s="66" t="s">
        <v>856</v>
      </c>
      <c r="T10" s="68" t="s">
        <v>824</v>
      </c>
    </row>
    <row r="11" spans="2:20">
      <c r="B11" s="65" t="s">
        <v>410</v>
      </c>
      <c r="C11" s="66" t="s">
        <v>828</v>
      </c>
      <c r="D11" s="66" t="s">
        <v>823</v>
      </c>
      <c r="E11" s="67" t="s">
        <v>313</v>
      </c>
      <c r="F11" s="66" t="s">
        <v>857</v>
      </c>
      <c r="G11" s="66" t="s">
        <v>835</v>
      </c>
      <c r="H11" s="66" t="s">
        <v>824</v>
      </c>
      <c r="I11" s="66" t="s">
        <v>858</v>
      </c>
      <c r="J11" s="66" t="s">
        <v>828</v>
      </c>
      <c r="K11" s="66" t="s">
        <v>67</v>
      </c>
      <c r="L11" s="66" t="s">
        <v>67</v>
      </c>
      <c r="M11" s="66" t="s">
        <v>67</v>
      </c>
      <c r="N11" s="66" t="s">
        <v>854</v>
      </c>
      <c r="O11" s="66" t="s">
        <v>830</v>
      </c>
      <c r="P11" s="66" t="s">
        <v>836</v>
      </c>
      <c r="Q11" s="66" t="s">
        <v>859</v>
      </c>
      <c r="R11" s="66" t="s">
        <v>838</v>
      </c>
      <c r="S11" s="66" t="s">
        <v>860</v>
      </c>
      <c r="T11" s="68" t="s">
        <v>854</v>
      </c>
    </row>
    <row r="12" ht="19.5" spans="2:20">
      <c r="B12" s="69" t="s">
        <v>410</v>
      </c>
      <c r="C12" s="70" t="s">
        <v>838</v>
      </c>
      <c r="D12" s="70" t="s">
        <v>840</v>
      </c>
      <c r="E12" s="71" t="s">
        <v>324</v>
      </c>
      <c r="F12" s="70" t="s">
        <v>835</v>
      </c>
      <c r="G12" s="70" t="s">
        <v>861</v>
      </c>
      <c r="H12" s="70" t="s">
        <v>862</v>
      </c>
      <c r="I12" s="70" t="s">
        <v>824</v>
      </c>
      <c r="J12" s="70" t="s">
        <v>828</v>
      </c>
      <c r="K12" s="70" t="s">
        <v>829</v>
      </c>
      <c r="L12" s="70" t="s">
        <v>67</v>
      </c>
      <c r="M12" s="70" t="s">
        <v>225</v>
      </c>
      <c r="N12" s="70" t="s">
        <v>225</v>
      </c>
      <c r="O12" s="70" t="s">
        <v>427</v>
      </c>
      <c r="P12" s="70" t="s">
        <v>863</v>
      </c>
      <c r="Q12" s="70" t="s">
        <v>864</v>
      </c>
      <c r="R12" s="70" t="s">
        <v>67</v>
      </c>
      <c r="S12" s="70" t="s">
        <v>865</v>
      </c>
      <c r="T12" s="72" t="s">
        <v>824</v>
      </c>
    </row>
    <row r="13" ht="19.5" spans="2:20">
      <c r="B13" s="58" t="s">
        <v>412</v>
      </c>
      <c r="C13" s="59" t="s">
        <v>778</v>
      </c>
      <c r="D13" s="59" t="s">
        <v>782</v>
      </c>
      <c r="E13" s="59" t="s">
        <v>784</v>
      </c>
      <c r="F13" s="59" t="s">
        <v>328</v>
      </c>
      <c r="G13" s="59" t="s">
        <v>330</v>
      </c>
      <c r="H13" s="59" t="s">
        <v>334</v>
      </c>
      <c r="I13" s="59" t="s">
        <v>332</v>
      </c>
      <c r="J13" s="59" t="s">
        <v>802</v>
      </c>
      <c r="K13" s="59" t="s">
        <v>805</v>
      </c>
      <c r="L13" s="59" t="s">
        <v>808</v>
      </c>
      <c r="M13" s="59" t="s">
        <v>811</v>
      </c>
      <c r="N13" s="59" t="s">
        <v>813</v>
      </c>
      <c r="O13" s="59" t="s">
        <v>815</v>
      </c>
      <c r="P13" s="59" t="s">
        <v>817</v>
      </c>
      <c r="Q13" s="59" t="s">
        <v>818</v>
      </c>
      <c r="R13" s="59" t="s">
        <v>820</v>
      </c>
      <c r="S13" s="59" t="s">
        <v>55</v>
      </c>
      <c r="T13" s="60" t="s">
        <v>822</v>
      </c>
    </row>
    <row r="14" ht="19.5" spans="2:20">
      <c r="B14" s="61" t="s">
        <v>412</v>
      </c>
      <c r="C14" s="62" t="s">
        <v>67</v>
      </c>
      <c r="D14" s="62" t="s">
        <v>823</v>
      </c>
      <c r="E14" s="63" t="s">
        <v>329</v>
      </c>
      <c r="F14" s="62" t="s">
        <v>824</v>
      </c>
      <c r="G14" s="62" t="s">
        <v>835</v>
      </c>
      <c r="H14" s="62" t="s">
        <v>827</v>
      </c>
      <c r="I14" s="62" t="s">
        <v>827</v>
      </c>
      <c r="J14" s="62" t="s">
        <v>828</v>
      </c>
      <c r="K14" s="62" t="s">
        <v>225</v>
      </c>
      <c r="L14" s="62" t="s">
        <v>67</v>
      </c>
      <c r="M14" s="62" t="s">
        <v>829</v>
      </c>
      <c r="N14" s="62" t="s">
        <v>849</v>
      </c>
      <c r="O14" s="62" t="s">
        <v>67</v>
      </c>
      <c r="P14" s="62" t="s">
        <v>830</v>
      </c>
      <c r="Q14" s="62" t="s">
        <v>855</v>
      </c>
      <c r="R14" s="62" t="s">
        <v>849</v>
      </c>
      <c r="S14" s="62" t="s">
        <v>830</v>
      </c>
      <c r="T14" s="64" t="s">
        <v>824</v>
      </c>
    </row>
    <row r="15" spans="2:20">
      <c r="B15" s="65" t="s">
        <v>412</v>
      </c>
      <c r="C15" s="66" t="s">
        <v>225</v>
      </c>
      <c r="D15" s="66" t="s">
        <v>823</v>
      </c>
      <c r="E15" s="67" t="s">
        <v>331</v>
      </c>
      <c r="F15" s="66" t="s">
        <v>835</v>
      </c>
      <c r="G15" s="66" t="s">
        <v>824</v>
      </c>
      <c r="H15" s="66" t="s">
        <v>826</v>
      </c>
      <c r="I15" s="66" t="s">
        <v>866</v>
      </c>
      <c r="J15" s="66" t="s">
        <v>828</v>
      </c>
      <c r="K15" s="66" t="s">
        <v>225</v>
      </c>
      <c r="L15" s="66" t="s">
        <v>67</v>
      </c>
      <c r="M15" s="66" t="s">
        <v>829</v>
      </c>
      <c r="N15" s="66" t="s">
        <v>830</v>
      </c>
      <c r="O15" s="66" t="s">
        <v>828</v>
      </c>
      <c r="P15" s="66" t="s">
        <v>828</v>
      </c>
      <c r="Q15" s="66" t="s">
        <v>836</v>
      </c>
      <c r="R15" s="66" t="s">
        <v>849</v>
      </c>
      <c r="S15" s="66" t="s">
        <v>849</v>
      </c>
      <c r="T15" s="68" t="s">
        <v>824</v>
      </c>
    </row>
    <row r="16" spans="2:20">
      <c r="B16" s="65" t="s">
        <v>412</v>
      </c>
      <c r="C16" s="66" t="s">
        <v>828</v>
      </c>
      <c r="D16" s="66" t="s">
        <v>840</v>
      </c>
      <c r="E16" s="67" t="s">
        <v>335</v>
      </c>
      <c r="F16" s="66" t="s">
        <v>845</v>
      </c>
      <c r="G16" s="66" t="s">
        <v>841</v>
      </c>
      <c r="H16" s="66" t="s">
        <v>824</v>
      </c>
      <c r="I16" s="66" t="s">
        <v>826</v>
      </c>
      <c r="J16" s="66" t="s">
        <v>828</v>
      </c>
      <c r="K16" s="66" t="s">
        <v>67</v>
      </c>
      <c r="L16" s="66" t="s">
        <v>829</v>
      </c>
      <c r="M16" s="66" t="s">
        <v>225</v>
      </c>
      <c r="N16" s="66" t="s">
        <v>67</v>
      </c>
      <c r="O16" s="66" t="s">
        <v>838</v>
      </c>
      <c r="P16" s="66" t="s">
        <v>850</v>
      </c>
      <c r="Q16" s="66" t="s">
        <v>855</v>
      </c>
      <c r="R16" s="66" t="s">
        <v>828</v>
      </c>
      <c r="S16" s="66" t="s">
        <v>867</v>
      </c>
      <c r="T16" s="68" t="s">
        <v>429</v>
      </c>
    </row>
    <row r="17" ht="19.5" spans="2:20">
      <c r="B17" s="69" t="s">
        <v>412</v>
      </c>
      <c r="C17" s="70" t="s">
        <v>838</v>
      </c>
      <c r="D17" s="70" t="s">
        <v>840</v>
      </c>
      <c r="E17" s="71" t="s">
        <v>333</v>
      </c>
      <c r="F17" s="70" t="s">
        <v>845</v>
      </c>
      <c r="G17" s="70" t="s">
        <v>868</v>
      </c>
      <c r="H17" s="70" t="s">
        <v>841</v>
      </c>
      <c r="I17" s="70" t="s">
        <v>824</v>
      </c>
      <c r="J17" s="70" t="s">
        <v>828</v>
      </c>
      <c r="K17" s="70" t="s">
        <v>829</v>
      </c>
      <c r="L17" s="70" t="s">
        <v>829</v>
      </c>
      <c r="M17" s="70" t="s">
        <v>828</v>
      </c>
      <c r="N17" s="70" t="s">
        <v>225</v>
      </c>
      <c r="O17" s="70" t="s">
        <v>853</v>
      </c>
      <c r="P17" s="70" t="s">
        <v>831</v>
      </c>
      <c r="Q17" s="70" t="s">
        <v>869</v>
      </c>
      <c r="R17" s="70" t="s">
        <v>829</v>
      </c>
      <c r="S17" s="70" t="s">
        <v>870</v>
      </c>
      <c r="T17" s="72" t="s">
        <v>824</v>
      </c>
    </row>
    <row r="18" ht="19.5" spans="2:20">
      <c r="B18" s="58" t="s">
        <v>414</v>
      </c>
      <c r="C18" s="59" t="s">
        <v>778</v>
      </c>
      <c r="D18" s="59" t="s">
        <v>782</v>
      </c>
      <c r="E18" s="59" t="s">
        <v>784</v>
      </c>
      <c r="F18" s="59" t="s">
        <v>316</v>
      </c>
      <c r="G18" s="59" t="s">
        <v>336</v>
      </c>
      <c r="H18" s="59" t="s">
        <v>320</v>
      </c>
      <c r="I18" s="59" t="s">
        <v>338</v>
      </c>
      <c r="J18" s="59" t="s">
        <v>802</v>
      </c>
      <c r="K18" s="59" t="s">
        <v>805</v>
      </c>
      <c r="L18" s="59" t="s">
        <v>808</v>
      </c>
      <c r="M18" s="59" t="s">
        <v>811</v>
      </c>
      <c r="N18" s="59" t="s">
        <v>813</v>
      </c>
      <c r="O18" s="59" t="s">
        <v>815</v>
      </c>
      <c r="P18" s="59" t="s">
        <v>817</v>
      </c>
      <c r="Q18" s="59" t="s">
        <v>818</v>
      </c>
      <c r="R18" s="59" t="s">
        <v>820</v>
      </c>
      <c r="S18" s="59" t="s">
        <v>55</v>
      </c>
      <c r="T18" s="60" t="s">
        <v>822</v>
      </c>
    </row>
    <row r="19" ht="19.5" spans="2:20">
      <c r="B19" s="61" t="s">
        <v>414</v>
      </c>
      <c r="C19" s="62" t="s">
        <v>67</v>
      </c>
      <c r="D19" s="62" t="s">
        <v>823</v>
      </c>
      <c r="E19" s="63" t="s">
        <v>317</v>
      </c>
      <c r="F19" s="62" t="s">
        <v>824</v>
      </c>
      <c r="G19" s="62" t="s">
        <v>825</v>
      </c>
      <c r="H19" s="62" t="s">
        <v>848</v>
      </c>
      <c r="I19" s="62" t="s">
        <v>871</v>
      </c>
      <c r="J19" s="62" t="s">
        <v>828</v>
      </c>
      <c r="K19" s="62" t="s">
        <v>225</v>
      </c>
      <c r="L19" s="62" t="s">
        <v>829</v>
      </c>
      <c r="M19" s="62" t="s">
        <v>67</v>
      </c>
      <c r="N19" s="62" t="s">
        <v>853</v>
      </c>
      <c r="O19" s="62" t="s">
        <v>838</v>
      </c>
      <c r="P19" s="62" t="s">
        <v>838</v>
      </c>
      <c r="Q19" s="62" t="s">
        <v>855</v>
      </c>
      <c r="R19" s="62" t="s">
        <v>830</v>
      </c>
      <c r="S19" s="62" t="s">
        <v>872</v>
      </c>
      <c r="T19" s="64" t="s">
        <v>824</v>
      </c>
    </row>
    <row r="20" spans="2:20">
      <c r="B20" s="65" t="s">
        <v>414</v>
      </c>
      <c r="C20" s="66" t="s">
        <v>225</v>
      </c>
      <c r="D20" s="66" t="s">
        <v>823</v>
      </c>
      <c r="E20" s="67" t="s">
        <v>337</v>
      </c>
      <c r="F20" s="66" t="s">
        <v>834</v>
      </c>
      <c r="G20" s="66" t="s">
        <v>824</v>
      </c>
      <c r="H20" s="66" t="s">
        <v>873</v>
      </c>
      <c r="I20" s="66" t="s">
        <v>825</v>
      </c>
      <c r="J20" s="66" t="s">
        <v>828</v>
      </c>
      <c r="K20" s="66" t="s">
        <v>67</v>
      </c>
      <c r="L20" s="66" t="s">
        <v>67</v>
      </c>
      <c r="M20" s="66" t="s">
        <v>67</v>
      </c>
      <c r="N20" s="66" t="s">
        <v>225</v>
      </c>
      <c r="O20" s="66" t="s">
        <v>225</v>
      </c>
      <c r="P20" s="66" t="s">
        <v>829</v>
      </c>
      <c r="Q20" s="66" t="s">
        <v>855</v>
      </c>
      <c r="R20" s="66" t="s">
        <v>838</v>
      </c>
      <c r="S20" s="66" t="s">
        <v>874</v>
      </c>
      <c r="T20" s="68" t="s">
        <v>824</v>
      </c>
    </row>
    <row r="21" spans="2:20">
      <c r="B21" s="65" t="s">
        <v>414</v>
      </c>
      <c r="C21" s="66" t="s">
        <v>828</v>
      </c>
      <c r="D21" s="66" t="s">
        <v>823</v>
      </c>
      <c r="E21" s="67" t="s">
        <v>321</v>
      </c>
      <c r="F21" s="66" t="s">
        <v>857</v>
      </c>
      <c r="G21" s="66" t="s">
        <v>873</v>
      </c>
      <c r="H21" s="66" t="s">
        <v>824</v>
      </c>
      <c r="I21" s="66" t="s">
        <v>826</v>
      </c>
      <c r="J21" s="66" t="s">
        <v>828</v>
      </c>
      <c r="K21" s="66" t="s">
        <v>67</v>
      </c>
      <c r="L21" s="66" t="s">
        <v>67</v>
      </c>
      <c r="M21" s="66" t="s">
        <v>67</v>
      </c>
      <c r="N21" s="66" t="s">
        <v>225</v>
      </c>
      <c r="O21" s="66" t="s">
        <v>838</v>
      </c>
      <c r="P21" s="66" t="s">
        <v>875</v>
      </c>
      <c r="Q21" s="66" t="s">
        <v>864</v>
      </c>
      <c r="R21" s="66" t="s">
        <v>838</v>
      </c>
      <c r="S21" s="66" t="s">
        <v>876</v>
      </c>
      <c r="T21" s="68" t="s">
        <v>849</v>
      </c>
    </row>
    <row r="22" ht="19.5" spans="2:20">
      <c r="B22" s="69" t="s">
        <v>414</v>
      </c>
      <c r="C22" s="70" t="s">
        <v>838</v>
      </c>
      <c r="D22" s="70" t="s">
        <v>840</v>
      </c>
      <c r="E22" s="71" t="s">
        <v>339</v>
      </c>
      <c r="F22" s="70" t="s">
        <v>877</v>
      </c>
      <c r="G22" s="70" t="s">
        <v>834</v>
      </c>
      <c r="H22" s="70" t="s">
        <v>841</v>
      </c>
      <c r="I22" s="70" t="s">
        <v>824</v>
      </c>
      <c r="J22" s="70" t="s">
        <v>828</v>
      </c>
      <c r="K22" s="70" t="s">
        <v>67</v>
      </c>
      <c r="L22" s="70" t="s">
        <v>829</v>
      </c>
      <c r="M22" s="70" t="s">
        <v>225</v>
      </c>
      <c r="N22" s="70" t="s">
        <v>828</v>
      </c>
      <c r="O22" s="70" t="s">
        <v>854</v>
      </c>
      <c r="P22" s="70" t="s">
        <v>875</v>
      </c>
      <c r="Q22" s="70" t="s">
        <v>850</v>
      </c>
      <c r="R22" s="70" t="s">
        <v>828</v>
      </c>
      <c r="S22" s="70" t="s">
        <v>878</v>
      </c>
      <c r="T22" s="72" t="s">
        <v>824</v>
      </c>
    </row>
    <row r="23" ht="19.5" spans="2:20">
      <c r="B23" s="58" t="s">
        <v>416</v>
      </c>
      <c r="C23" s="59" t="s">
        <v>778</v>
      </c>
      <c r="D23" s="59" t="s">
        <v>782</v>
      </c>
      <c r="E23" s="59" t="s">
        <v>784</v>
      </c>
      <c r="F23" s="59" t="s">
        <v>340</v>
      </c>
      <c r="G23" s="59" t="s">
        <v>348</v>
      </c>
      <c r="H23" s="59" t="s">
        <v>350</v>
      </c>
      <c r="I23" s="59" t="s">
        <v>342</v>
      </c>
      <c r="J23" s="59" t="s">
        <v>802</v>
      </c>
      <c r="K23" s="59" t="s">
        <v>805</v>
      </c>
      <c r="L23" s="59" t="s">
        <v>808</v>
      </c>
      <c r="M23" s="59" t="s">
        <v>811</v>
      </c>
      <c r="N23" s="59" t="s">
        <v>813</v>
      </c>
      <c r="O23" s="59" t="s">
        <v>815</v>
      </c>
      <c r="P23" s="59" t="s">
        <v>817</v>
      </c>
      <c r="Q23" s="59" t="s">
        <v>818</v>
      </c>
      <c r="R23" s="59" t="s">
        <v>820</v>
      </c>
      <c r="S23" s="59" t="s">
        <v>55</v>
      </c>
      <c r="T23" s="60" t="s">
        <v>822</v>
      </c>
    </row>
    <row r="24" ht="19.5" spans="2:20">
      <c r="B24" s="61" t="s">
        <v>416</v>
      </c>
      <c r="C24" s="62" t="s">
        <v>67</v>
      </c>
      <c r="D24" s="62" t="s">
        <v>823</v>
      </c>
      <c r="E24" s="63" t="s">
        <v>341</v>
      </c>
      <c r="F24" s="62" t="s">
        <v>824</v>
      </c>
      <c r="G24" s="62" t="s">
        <v>842</v>
      </c>
      <c r="H24" s="62" t="s">
        <v>846</v>
      </c>
      <c r="I24" s="62" t="s">
        <v>879</v>
      </c>
      <c r="J24" s="62" t="s">
        <v>828</v>
      </c>
      <c r="K24" s="62" t="s">
        <v>225</v>
      </c>
      <c r="L24" s="62" t="s">
        <v>829</v>
      </c>
      <c r="M24" s="62" t="s">
        <v>67</v>
      </c>
      <c r="N24" s="62" t="s">
        <v>427</v>
      </c>
      <c r="O24" s="62" t="s">
        <v>838</v>
      </c>
      <c r="P24" s="62" t="s">
        <v>830</v>
      </c>
      <c r="Q24" s="62" t="s">
        <v>836</v>
      </c>
      <c r="R24" s="62" t="s">
        <v>830</v>
      </c>
      <c r="S24" s="62" t="s">
        <v>427</v>
      </c>
      <c r="T24" s="64" t="s">
        <v>824</v>
      </c>
    </row>
    <row r="25" spans="2:20">
      <c r="B25" s="65" t="s">
        <v>416</v>
      </c>
      <c r="C25" s="66" t="s">
        <v>225</v>
      </c>
      <c r="D25" s="66" t="s">
        <v>823</v>
      </c>
      <c r="E25" s="67" t="s">
        <v>349</v>
      </c>
      <c r="F25" s="66" t="s">
        <v>846</v>
      </c>
      <c r="G25" s="66" t="s">
        <v>824</v>
      </c>
      <c r="H25" s="66" t="s">
        <v>826</v>
      </c>
      <c r="I25" s="66" t="s">
        <v>825</v>
      </c>
      <c r="J25" s="66" t="s">
        <v>828</v>
      </c>
      <c r="K25" s="66" t="s">
        <v>225</v>
      </c>
      <c r="L25" s="66" t="s">
        <v>829</v>
      </c>
      <c r="M25" s="66" t="s">
        <v>67</v>
      </c>
      <c r="N25" s="66" t="s">
        <v>838</v>
      </c>
      <c r="O25" s="66" t="s">
        <v>225</v>
      </c>
      <c r="P25" s="66" t="s">
        <v>225</v>
      </c>
      <c r="Q25" s="66" t="s">
        <v>843</v>
      </c>
      <c r="R25" s="66" t="s">
        <v>830</v>
      </c>
      <c r="S25" s="66" t="s">
        <v>880</v>
      </c>
      <c r="T25" s="68" t="s">
        <v>824</v>
      </c>
    </row>
    <row r="26" spans="2:20">
      <c r="B26" s="65" t="s">
        <v>416</v>
      </c>
      <c r="C26" s="66" t="s">
        <v>828</v>
      </c>
      <c r="D26" s="66" t="s">
        <v>823</v>
      </c>
      <c r="E26" s="67" t="s">
        <v>351</v>
      </c>
      <c r="F26" s="66" t="s">
        <v>842</v>
      </c>
      <c r="G26" s="66" t="s">
        <v>841</v>
      </c>
      <c r="H26" s="66" t="s">
        <v>824</v>
      </c>
      <c r="I26" s="66" t="s">
        <v>873</v>
      </c>
      <c r="J26" s="66" t="s">
        <v>828</v>
      </c>
      <c r="K26" s="66" t="s">
        <v>67</v>
      </c>
      <c r="L26" s="66" t="s">
        <v>67</v>
      </c>
      <c r="M26" s="66" t="s">
        <v>67</v>
      </c>
      <c r="N26" s="66" t="s">
        <v>225</v>
      </c>
      <c r="O26" s="66" t="s">
        <v>225</v>
      </c>
      <c r="P26" s="66" t="s">
        <v>829</v>
      </c>
      <c r="Q26" s="66" t="s">
        <v>855</v>
      </c>
      <c r="R26" s="66" t="s">
        <v>838</v>
      </c>
      <c r="S26" s="66" t="s">
        <v>881</v>
      </c>
      <c r="T26" s="68" t="s">
        <v>838</v>
      </c>
    </row>
    <row r="27" ht="19.5" spans="2:20">
      <c r="B27" s="69" t="s">
        <v>416</v>
      </c>
      <c r="C27" s="70" t="s">
        <v>838</v>
      </c>
      <c r="D27" s="70" t="s">
        <v>840</v>
      </c>
      <c r="E27" s="71" t="s">
        <v>343</v>
      </c>
      <c r="F27" s="70" t="s">
        <v>882</v>
      </c>
      <c r="G27" s="70" t="s">
        <v>834</v>
      </c>
      <c r="H27" s="70" t="s">
        <v>873</v>
      </c>
      <c r="I27" s="70" t="s">
        <v>824</v>
      </c>
      <c r="J27" s="70" t="s">
        <v>828</v>
      </c>
      <c r="K27" s="70" t="s">
        <v>829</v>
      </c>
      <c r="L27" s="70" t="s">
        <v>67</v>
      </c>
      <c r="M27" s="70" t="s">
        <v>225</v>
      </c>
      <c r="N27" s="70" t="s">
        <v>67</v>
      </c>
      <c r="O27" s="70" t="s">
        <v>832</v>
      </c>
      <c r="P27" s="70" t="s">
        <v>863</v>
      </c>
      <c r="Q27" s="70" t="s">
        <v>869</v>
      </c>
      <c r="R27" s="70" t="s">
        <v>67</v>
      </c>
      <c r="S27" s="70" t="s">
        <v>883</v>
      </c>
      <c r="T27" s="72" t="s">
        <v>824</v>
      </c>
    </row>
    <row r="28" ht="19.5" spans="2:20">
      <c r="B28" s="58" t="s">
        <v>419</v>
      </c>
      <c r="C28" s="59" t="s">
        <v>778</v>
      </c>
      <c r="D28" s="59" t="s">
        <v>782</v>
      </c>
      <c r="E28" s="59" t="s">
        <v>784</v>
      </c>
      <c r="F28" s="59" t="s">
        <v>344</v>
      </c>
      <c r="G28" s="59" t="s">
        <v>346</v>
      </c>
      <c r="H28" s="59" t="s">
        <v>352</v>
      </c>
      <c r="I28" s="59" t="s">
        <v>354</v>
      </c>
      <c r="J28" s="59" t="s">
        <v>802</v>
      </c>
      <c r="K28" s="59" t="s">
        <v>805</v>
      </c>
      <c r="L28" s="59" t="s">
        <v>808</v>
      </c>
      <c r="M28" s="59" t="s">
        <v>811</v>
      </c>
      <c r="N28" s="59" t="s">
        <v>813</v>
      </c>
      <c r="O28" s="59" t="s">
        <v>815</v>
      </c>
      <c r="P28" s="59" t="s">
        <v>817</v>
      </c>
      <c r="Q28" s="59" t="s">
        <v>818</v>
      </c>
      <c r="R28" s="59" t="s">
        <v>820</v>
      </c>
      <c r="S28" s="59" t="s">
        <v>55</v>
      </c>
      <c r="T28" s="60" t="s">
        <v>822</v>
      </c>
    </row>
    <row r="29" ht="19.5" spans="2:20">
      <c r="B29" s="61" t="s">
        <v>419</v>
      </c>
      <c r="C29" s="62" t="s">
        <v>67</v>
      </c>
      <c r="D29" s="62" t="s">
        <v>823</v>
      </c>
      <c r="E29" s="63" t="s">
        <v>345</v>
      </c>
      <c r="F29" s="62" t="s">
        <v>824</v>
      </c>
      <c r="G29" s="62" t="s">
        <v>884</v>
      </c>
      <c r="H29" s="62" t="s">
        <v>885</v>
      </c>
      <c r="I29" s="62" t="s">
        <v>858</v>
      </c>
      <c r="J29" s="62" t="s">
        <v>828</v>
      </c>
      <c r="K29" s="62" t="s">
        <v>225</v>
      </c>
      <c r="L29" s="62" t="s">
        <v>67</v>
      </c>
      <c r="M29" s="62" t="s">
        <v>829</v>
      </c>
      <c r="N29" s="62" t="s">
        <v>427</v>
      </c>
      <c r="O29" s="62" t="s">
        <v>838</v>
      </c>
      <c r="P29" s="62" t="s">
        <v>830</v>
      </c>
      <c r="Q29" s="62" t="s">
        <v>850</v>
      </c>
      <c r="R29" s="62" t="s">
        <v>849</v>
      </c>
      <c r="S29" s="62" t="s">
        <v>853</v>
      </c>
      <c r="T29" s="64" t="s">
        <v>824</v>
      </c>
    </row>
    <row r="30" spans="2:20">
      <c r="B30" s="65" t="s">
        <v>419</v>
      </c>
      <c r="C30" s="66" t="s">
        <v>225</v>
      </c>
      <c r="D30" s="66" t="s">
        <v>823</v>
      </c>
      <c r="E30" s="67" t="s">
        <v>347</v>
      </c>
      <c r="F30" s="66" t="s">
        <v>884</v>
      </c>
      <c r="G30" s="66" t="s">
        <v>824</v>
      </c>
      <c r="H30" s="66" t="s">
        <v>835</v>
      </c>
      <c r="I30" s="66" t="s">
        <v>886</v>
      </c>
      <c r="J30" s="66" t="s">
        <v>828</v>
      </c>
      <c r="K30" s="66" t="s">
        <v>67</v>
      </c>
      <c r="L30" s="66" t="s">
        <v>225</v>
      </c>
      <c r="M30" s="66" t="s">
        <v>829</v>
      </c>
      <c r="N30" s="66" t="s">
        <v>849</v>
      </c>
      <c r="O30" s="66" t="s">
        <v>828</v>
      </c>
      <c r="P30" s="66" t="s">
        <v>838</v>
      </c>
      <c r="Q30" s="66" t="s">
        <v>836</v>
      </c>
      <c r="R30" s="66" t="s">
        <v>854</v>
      </c>
      <c r="S30" s="66" t="s">
        <v>887</v>
      </c>
      <c r="T30" s="68" t="s">
        <v>824</v>
      </c>
    </row>
    <row r="31" spans="2:20">
      <c r="B31" s="65" t="s">
        <v>419</v>
      </c>
      <c r="C31" s="66" t="s">
        <v>828</v>
      </c>
      <c r="D31" s="66" t="s">
        <v>823</v>
      </c>
      <c r="E31" s="67" t="s">
        <v>353</v>
      </c>
      <c r="F31" s="66" t="s">
        <v>888</v>
      </c>
      <c r="G31" s="66" t="s">
        <v>835</v>
      </c>
      <c r="H31" s="66" t="s">
        <v>824</v>
      </c>
      <c r="I31" s="66" t="s">
        <v>885</v>
      </c>
      <c r="J31" s="66" t="s">
        <v>828</v>
      </c>
      <c r="K31" s="66" t="s">
        <v>67</v>
      </c>
      <c r="L31" s="66" t="s">
        <v>67</v>
      </c>
      <c r="M31" s="66" t="s">
        <v>67</v>
      </c>
      <c r="N31" s="66" t="s">
        <v>849</v>
      </c>
      <c r="O31" s="66" t="s">
        <v>849</v>
      </c>
      <c r="P31" s="66" t="s">
        <v>829</v>
      </c>
      <c r="Q31" s="66" t="s">
        <v>855</v>
      </c>
      <c r="R31" s="66" t="s">
        <v>838</v>
      </c>
      <c r="S31" s="66" t="s">
        <v>889</v>
      </c>
      <c r="T31" s="68" t="s">
        <v>225</v>
      </c>
    </row>
    <row r="32" ht="19.5" spans="2:20">
      <c r="B32" s="69" t="s">
        <v>419</v>
      </c>
      <c r="C32" s="70" t="s">
        <v>838</v>
      </c>
      <c r="D32" s="70" t="s">
        <v>840</v>
      </c>
      <c r="E32" s="71" t="s">
        <v>355</v>
      </c>
      <c r="F32" s="70" t="s">
        <v>862</v>
      </c>
      <c r="G32" s="70" t="s">
        <v>890</v>
      </c>
      <c r="H32" s="70" t="s">
        <v>888</v>
      </c>
      <c r="I32" s="70" t="s">
        <v>824</v>
      </c>
      <c r="J32" s="70" t="s">
        <v>828</v>
      </c>
      <c r="K32" s="70" t="s">
        <v>829</v>
      </c>
      <c r="L32" s="70" t="s">
        <v>829</v>
      </c>
      <c r="M32" s="70" t="s">
        <v>828</v>
      </c>
      <c r="N32" s="70" t="s">
        <v>225</v>
      </c>
      <c r="O32" s="70" t="s">
        <v>431</v>
      </c>
      <c r="P32" s="70" t="s">
        <v>859</v>
      </c>
      <c r="Q32" s="70" t="s">
        <v>836</v>
      </c>
      <c r="R32" s="70" t="s">
        <v>829</v>
      </c>
      <c r="S32" s="70" t="s">
        <v>891</v>
      </c>
      <c r="T32" s="72" t="s">
        <v>824</v>
      </c>
    </row>
    <row r="33" ht="19.5" spans="2:20">
      <c r="B33" s="58" t="s">
        <v>422</v>
      </c>
      <c r="C33" s="59" t="s">
        <v>778</v>
      </c>
      <c r="D33" s="59" t="s">
        <v>782</v>
      </c>
      <c r="E33" s="59" t="s">
        <v>784</v>
      </c>
      <c r="F33" s="59" t="s">
        <v>360</v>
      </c>
      <c r="G33" s="59" t="s">
        <v>362</v>
      </c>
      <c r="H33" s="59" t="s">
        <v>368</v>
      </c>
      <c r="I33" s="59" t="s">
        <v>370</v>
      </c>
      <c r="J33" s="59" t="s">
        <v>802</v>
      </c>
      <c r="K33" s="59" t="s">
        <v>805</v>
      </c>
      <c r="L33" s="59" t="s">
        <v>808</v>
      </c>
      <c r="M33" s="59" t="s">
        <v>811</v>
      </c>
      <c r="N33" s="59" t="s">
        <v>813</v>
      </c>
      <c r="O33" s="59" t="s">
        <v>815</v>
      </c>
      <c r="P33" s="59" t="s">
        <v>817</v>
      </c>
      <c r="Q33" s="59" t="s">
        <v>818</v>
      </c>
      <c r="R33" s="59" t="s">
        <v>820</v>
      </c>
      <c r="S33" s="59" t="s">
        <v>55</v>
      </c>
      <c r="T33" s="60" t="s">
        <v>822</v>
      </c>
    </row>
    <row r="34" ht="19.5" spans="2:20">
      <c r="B34" s="61" t="s">
        <v>422</v>
      </c>
      <c r="C34" s="62" t="s">
        <v>67</v>
      </c>
      <c r="D34" s="62" t="s">
        <v>823</v>
      </c>
      <c r="E34" s="63" t="s">
        <v>361</v>
      </c>
      <c r="F34" s="62" t="s">
        <v>824</v>
      </c>
      <c r="G34" s="62" t="s">
        <v>835</v>
      </c>
      <c r="H34" s="62" t="s">
        <v>873</v>
      </c>
      <c r="I34" s="62" t="s">
        <v>885</v>
      </c>
      <c r="J34" s="62" t="s">
        <v>828</v>
      </c>
      <c r="K34" s="62" t="s">
        <v>67</v>
      </c>
      <c r="L34" s="62" t="s">
        <v>225</v>
      </c>
      <c r="M34" s="62" t="s">
        <v>829</v>
      </c>
      <c r="N34" s="62" t="s">
        <v>830</v>
      </c>
      <c r="O34" s="62" t="s">
        <v>225</v>
      </c>
      <c r="P34" s="62" t="s">
        <v>838</v>
      </c>
      <c r="Q34" s="62" t="s">
        <v>869</v>
      </c>
      <c r="R34" s="62" t="s">
        <v>854</v>
      </c>
      <c r="S34" s="62" t="s">
        <v>832</v>
      </c>
      <c r="T34" s="64" t="s">
        <v>824</v>
      </c>
    </row>
    <row r="35" spans="2:20">
      <c r="B35" s="73" t="s">
        <v>422</v>
      </c>
      <c r="C35" s="74" t="s">
        <v>225</v>
      </c>
      <c r="D35" s="74" t="s">
        <v>823</v>
      </c>
      <c r="E35" s="75" t="s">
        <v>363</v>
      </c>
      <c r="F35" s="74" t="s">
        <v>835</v>
      </c>
      <c r="G35" s="74" t="s">
        <v>824</v>
      </c>
      <c r="H35" s="74" t="s">
        <v>835</v>
      </c>
      <c r="I35" s="74" t="s">
        <v>858</v>
      </c>
      <c r="J35" s="74" t="s">
        <v>828</v>
      </c>
      <c r="K35" s="74" t="s">
        <v>67</v>
      </c>
      <c r="L35" s="74" t="s">
        <v>225</v>
      </c>
      <c r="M35" s="74" t="s">
        <v>829</v>
      </c>
      <c r="N35" s="74" t="s">
        <v>854</v>
      </c>
      <c r="O35" s="74" t="s">
        <v>828</v>
      </c>
      <c r="P35" s="74" t="s">
        <v>225</v>
      </c>
      <c r="Q35" s="74" t="s">
        <v>831</v>
      </c>
      <c r="R35" s="74" t="s">
        <v>854</v>
      </c>
      <c r="S35" s="74" t="s">
        <v>892</v>
      </c>
      <c r="T35" s="76" t="s">
        <v>824</v>
      </c>
    </row>
    <row r="36" spans="2:20">
      <c r="B36" s="73" t="s">
        <v>422</v>
      </c>
      <c r="C36" s="74" t="s">
        <v>828</v>
      </c>
      <c r="D36" s="74" t="s">
        <v>840</v>
      </c>
      <c r="E36" s="75" t="s">
        <v>369</v>
      </c>
      <c r="F36" s="74" t="s">
        <v>873</v>
      </c>
      <c r="G36" s="74" t="s">
        <v>835</v>
      </c>
      <c r="H36" s="74" t="s">
        <v>824</v>
      </c>
      <c r="I36" s="74" t="s">
        <v>884</v>
      </c>
      <c r="J36" s="74" t="s">
        <v>828</v>
      </c>
      <c r="K36" s="74" t="s">
        <v>829</v>
      </c>
      <c r="L36" s="74" t="s">
        <v>828</v>
      </c>
      <c r="M36" s="74" t="s">
        <v>829</v>
      </c>
      <c r="N36" s="74" t="s">
        <v>828</v>
      </c>
      <c r="O36" s="74" t="s">
        <v>828</v>
      </c>
      <c r="P36" s="74" t="s">
        <v>829</v>
      </c>
      <c r="Q36" s="74" t="s">
        <v>831</v>
      </c>
      <c r="R36" s="74" t="s">
        <v>828</v>
      </c>
      <c r="S36" s="74" t="s">
        <v>893</v>
      </c>
      <c r="T36" s="76" t="s">
        <v>832</v>
      </c>
    </row>
    <row r="37" ht="19.5" spans="2:20">
      <c r="B37" s="77" t="s">
        <v>422</v>
      </c>
      <c r="C37" s="78" t="s">
        <v>838</v>
      </c>
      <c r="D37" s="78" t="s">
        <v>840</v>
      </c>
      <c r="E37" s="79" t="s">
        <v>371</v>
      </c>
      <c r="F37" s="78" t="s">
        <v>888</v>
      </c>
      <c r="G37" s="78" t="s">
        <v>862</v>
      </c>
      <c r="H37" s="78" t="s">
        <v>884</v>
      </c>
      <c r="I37" s="78" t="s">
        <v>824</v>
      </c>
      <c r="J37" s="78" t="s">
        <v>828</v>
      </c>
      <c r="K37" s="78" t="s">
        <v>829</v>
      </c>
      <c r="L37" s="78" t="s">
        <v>67</v>
      </c>
      <c r="M37" s="78" t="s">
        <v>225</v>
      </c>
      <c r="N37" s="78" t="s">
        <v>838</v>
      </c>
      <c r="O37" s="78" t="s">
        <v>427</v>
      </c>
      <c r="P37" s="78" t="s">
        <v>831</v>
      </c>
      <c r="Q37" s="78" t="s">
        <v>843</v>
      </c>
      <c r="R37" s="78" t="s">
        <v>67</v>
      </c>
      <c r="S37" s="78" t="s">
        <v>894</v>
      </c>
      <c r="T37" s="80" t="s">
        <v>824</v>
      </c>
    </row>
    <row r="38" ht="19.5" spans="2:20">
      <c r="B38" s="81" t="s">
        <v>424</v>
      </c>
      <c r="C38" s="82" t="s">
        <v>778</v>
      </c>
      <c r="D38" s="82" t="s">
        <v>782</v>
      </c>
      <c r="E38" s="82" t="s">
        <v>784</v>
      </c>
      <c r="F38" s="82" t="s">
        <v>356</v>
      </c>
      <c r="G38" s="82" t="s">
        <v>358</v>
      </c>
      <c r="H38" s="82" t="s">
        <v>366</v>
      </c>
      <c r="I38" s="82" t="s">
        <v>364</v>
      </c>
      <c r="J38" s="82" t="s">
        <v>802</v>
      </c>
      <c r="K38" s="82" t="s">
        <v>805</v>
      </c>
      <c r="L38" s="82" t="s">
        <v>808</v>
      </c>
      <c r="M38" s="82" t="s">
        <v>811</v>
      </c>
      <c r="N38" s="82" t="s">
        <v>813</v>
      </c>
      <c r="O38" s="82" t="s">
        <v>815</v>
      </c>
      <c r="P38" s="82" t="s">
        <v>817</v>
      </c>
      <c r="Q38" s="82" t="s">
        <v>818</v>
      </c>
      <c r="R38" s="82" t="s">
        <v>820</v>
      </c>
      <c r="S38" s="82" t="s">
        <v>55</v>
      </c>
      <c r="T38" s="83" t="s">
        <v>822</v>
      </c>
    </row>
    <row r="39" ht="19.5" spans="2:20">
      <c r="B39" s="84" t="s">
        <v>424</v>
      </c>
      <c r="C39" s="85" t="s">
        <v>67</v>
      </c>
      <c r="D39" s="85" t="s">
        <v>823</v>
      </c>
      <c r="E39" s="86" t="s">
        <v>357</v>
      </c>
      <c r="F39" s="85" t="s">
        <v>824</v>
      </c>
      <c r="G39" s="85" t="s">
        <v>873</v>
      </c>
      <c r="H39" s="85" t="s">
        <v>826</v>
      </c>
      <c r="I39" s="85" t="s">
        <v>886</v>
      </c>
      <c r="J39" s="85" t="s">
        <v>828</v>
      </c>
      <c r="K39" s="85" t="s">
        <v>225</v>
      </c>
      <c r="L39" s="85" t="s">
        <v>67</v>
      </c>
      <c r="M39" s="85" t="s">
        <v>829</v>
      </c>
      <c r="N39" s="85" t="s">
        <v>854</v>
      </c>
      <c r="O39" s="85" t="s">
        <v>829</v>
      </c>
      <c r="P39" s="85" t="s">
        <v>854</v>
      </c>
      <c r="Q39" s="85" t="s">
        <v>875</v>
      </c>
      <c r="R39" s="85" t="s">
        <v>849</v>
      </c>
      <c r="S39" s="85" t="s">
        <v>225</v>
      </c>
      <c r="T39" s="87" t="s">
        <v>824</v>
      </c>
    </row>
    <row r="40" spans="2:20">
      <c r="B40" s="73" t="s">
        <v>424</v>
      </c>
      <c r="C40" s="74" t="s">
        <v>225</v>
      </c>
      <c r="D40" s="74" t="s">
        <v>823</v>
      </c>
      <c r="E40" s="75" t="s">
        <v>359</v>
      </c>
      <c r="F40" s="74" t="s">
        <v>873</v>
      </c>
      <c r="G40" s="74" t="s">
        <v>824</v>
      </c>
      <c r="H40" s="74" t="s">
        <v>884</v>
      </c>
      <c r="I40" s="74" t="s">
        <v>873</v>
      </c>
      <c r="J40" s="74" t="s">
        <v>828</v>
      </c>
      <c r="K40" s="74" t="s">
        <v>829</v>
      </c>
      <c r="L40" s="74" t="s">
        <v>828</v>
      </c>
      <c r="M40" s="74" t="s">
        <v>829</v>
      </c>
      <c r="N40" s="74" t="s">
        <v>225</v>
      </c>
      <c r="O40" s="74" t="s">
        <v>225</v>
      </c>
      <c r="P40" s="74" t="s">
        <v>829</v>
      </c>
      <c r="Q40" s="74" t="s">
        <v>843</v>
      </c>
      <c r="R40" s="74" t="s">
        <v>828</v>
      </c>
      <c r="S40" s="74" t="s">
        <v>895</v>
      </c>
      <c r="T40" s="76" t="s">
        <v>824</v>
      </c>
    </row>
    <row r="41" spans="2:20">
      <c r="B41" s="73" t="s">
        <v>424</v>
      </c>
      <c r="C41" s="74" t="s">
        <v>828</v>
      </c>
      <c r="D41" s="74" t="s">
        <v>840</v>
      </c>
      <c r="E41" s="75" t="s">
        <v>367</v>
      </c>
      <c r="F41" s="74" t="s">
        <v>841</v>
      </c>
      <c r="G41" s="74" t="s">
        <v>884</v>
      </c>
      <c r="H41" s="74" t="s">
        <v>824</v>
      </c>
      <c r="I41" s="74" t="s">
        <v>835</v>
      </c>
      <c r="J41" s="74" t="s">
        <v>828</v>
      </c>
      <c r="K41" s="74" t="s">
        <v>829</v>
      </c>
      <c r="L41" s="74" t="s">
        <v>225</v>
      </c>
      <c r="M41" s="74" t="s">
        <v>67</v>
      </c>
      <c r="N41" s="74" t="s">
        <v>828</v>
      </c>
      <c r="O41" s="74" t="s">
        <v>838</v>
      </c>
      <c r="P41" s="74" t="s">
        <v>836</v>
      </c>
      <c r="Q41" s="74" t="s">
        <v>896</v>
      </c>
      <c r="R41" s="74" t="s">
        <v>225</v>
      </c>
      <c r="S41" s="74" t="s">
        <v>897</v>
      </c>
      <c r="T41" s="76" t="s">
        <v>431</v>
      </c>
    </row>
    <row r="42" ht="19.5" spans="2:20">
      <c r="B42" s="77" t="s">
        <v>424</v>
      </c>
      <c r="C42" s="78" t="s">
        <v>838</v>
      </c>
      <c r="D42" s="78" t="s">
        <v>840</v>
      </c>
      <c r="E42" s="79" t="s">
        <v>365</v>
      </c>
      <c r="F42" s="78" t="s">
        <v>890</v>
      </c>
      <c r="G42" s="78" t="s">
        <v>873</v>
      </c>
      <c r="H42" s="78" t="s">
        <v>835</v>
      </c>
      <c r="I42" s="78" t="s">
        <v>824</v>
      </c>
      <c r="J42" s="78" t="s">
        <v>828</v>
      </c>
      <c r="K42" s="78" t="s">
        <v>829</v>
      </c>
      <c r="L42" s="78" t="s">
        <v>225</v>
      </c>
      <c r="M42" s="78" t="s">
        <v>67</v>
      </c>
      <c r="N42" s="78" t="s">
        <v>67</v>
      </c>
      <c r="O42" s="78" t="s">
        <v>854</v>
      </c>
      <c r="P42" s="78" t="s">
        <v>843</v>
      </c>
      <c r="Q42" s="78" t="s">
        <v>831</v>
      </c>
      <c r="R42" s="78" t="s">
        <v>225</v>
      </c>
      <c r="S42" s="78" t="s">
        <v>898</v>
      </c>
      <c r="T42" s="80" t="s">
        <v>824</v>
      </c>
    </row>
    <row r="43" ht="19.5" spans="2:20">
      <c r="B43" s="81" t="s">
        <v>426</v>
      </c>
      <c r="C43" s="82" t="s">
        <v>778</v>
      </c>
      <c r="D43" s="82" t="s">
        <v>782</v>
      </c>
      <c r="E43" s="82" t="s">
        <v>784</v>
      </c>
      <c r="F43" s="82" t="s">
        <v>372</v>
      </c>
      <c r="G43" s="82" t="s">
        <v>378</v>
      </c>
      <c r="H43" s="82" t="s">
        <v>374</v>
      </c>
      <c r="I43" s="82" t="s">
        <v>376</v>
      </c>
      <c r="J43" s="82" t="s">
        <v>802</v>
      </c>
      <c r="K43" s="82" t="s">
        <v>805</v>
      </c>
      <c r="L43" s="82" t="s">
        <v>808</v>
      </c>
      <c r="M43" s="82" t="s">
        <v>811</v>
      </c>
      <c r="N43" s="82" t="s">
        <v>813</v>
      </c>
      <c r="O43" s="82" t="s">
        <v>815</v>
      </c>
      <c r="P43" s="82" t="s">
        <v>817</v>
      </c>
      <c r="Q43" s="82" t="s">
        <v>818</v>
      </c>
      <c r="R43" s="82" t="s">
        <v>820</v>
      </c>
      <c r="S43" s="82" t="s">
        <v>55</v>
      </c>
      <c r="T43" s="83" t="s">
        <v>822</v>
      </c>
    </row>
    <row r="44" ht="19.5" spans="2:20">
      <c r="B44" s="84" t="s">
        <v>426</v>
      </c>
      <c r="C44" s="85" t="s">
        <v>67</v>
      </c>
      <c r="D44" s="85" t="s">
        <v>823</v>
      </c>
      <c r="E44" s="86" t="s">
        <v>373</v>
      </c>
      <c r="F44" s="85" t="s">
        <v>824</v>
      </c>
      <c r="G44" s="85" t="s">
        <v>848</v>
      </c>
      <c r="H44" s="85" t="s">
        <v>858</v>
      </c>
      <c r="I44" s="85" t="s">
        <v>827</v>
      </c>
      <c r="J44" s="85" t="s">
        <v>828</v>
      </c>
      <c r="K44" s="85" t="s">
        <v>828</v>
      </c>
      <c r="L44" s="85" t="s">
        <v>829</v>
      </c>
      <c r="M44" s="85" t="s">
        <v>829</v>
      </c>
      <c r="N44" s="85" t="s">
        <v>427</v>
      </c>
      <c r="O44" s="85" t="s">
        <v>225</v>
      </c>
      <c r="P44" s="85" t="s">
        <v>853</v>
      </c>
      <c r="Q44" s="85" t="s">
        <v>836</v>
      </c>
      <c r="R44" s="85" t="s">
        <v>832</v>
      </c>
      <c r="S44" s="85" t="s">
        <v>828</v>
      </c>
      <c r="T44" s="87" t="s">
        <v>824</v>
      </c>
    </row>
    <row r="45" spans="2:20">
      <c r="B45" s="65" t="s">
        <v>426</v>
      </c>
      <c r="C45" s="66" t="s">
        <v>225</v>
      </c>
      <c r="D45" s="66" t="s">
        <v>823</v>
      </c>
      <c r="E45" s="67" t="s">
        <v>379</v>
      </c>
      <c r="F45" s="66" t="s">
        <v>857</v>
      </c>
      <c r="G45" s="66" t="s">
        <v>824</v>
      </c>
      <c r="H45" s="66" t="s">
        <v>877</v>
      </c>
      <c r="I45" s="66" t="s">
        <v>848</v>
      </c>
      <c r="J45" s="66" t="s">
        <v>828</v>
      </c>
      <c r="K45" s="66" t="s">
        <v>225</v>
      </c>
      <c r="L45" s="66" t="s">
        <v>829</v>
      </c>
      <c r="M45" s="66" t="s">
        <v>67</v>
      </c>
      <c r="N45" s="66" t="s">
        <v>853</v>
      </c>
      <c r="O45" s="66" t="s">
        <v>849</v>
      </c>
      <c r="P45" s="66" t="s">
        <v>67</v>
      </c>
      <c r="Q45" s="66" t="s">
        <v>836</v>
      </c>
      <c r="R45" s="66" t="s">
        <v>830</v>
      </c>
      <c r="S45" s="66" t="s">
        <v>899</v>
      </c>
      <c r="T45" s="68" t="s">
        <v>824</v>
      </c>
    </row>
    <row r="46" spans="2:20">
      <c r="B46" s="65" t="s">
        <v>426</v>
      </c>
      <c r="C46" s="66" t="s">
        <v>828</v>
      </c>
      <c r="D46" s="66" t="s">
        <v>823</v>
      </c>
      <c r="E46" s="67" t="s">
        <v>375</v>
      </c>
      <c r="F46" s="66" t="s">
        <v>862</v>
      </c>
      <c r="G46" s="66" t="s">
        <v>871</v>
      </c>
      <c r="H46" s="66" t="s">
        <v>824</v>
      </c>
      <c r="I46" s="66" t="s">
        <v>900</v>
      </c>
      <c r="J46" s="66" t="s">
        <v>828</v>
      </c>
      <c r="K46" s="66" t="s">
        <v>67</v>
      </c>
      <c r="L46" s="66" t="s">
        <v>829</v>
      </c>
      <c r="M46" s="66" t="s">
        <v>225</v>
      </c>
      <c r="N46" s="66" t="s">
        <v>853</v>
      </c>
      <c r="O46" s="66" t="s">
        <v>830</v>
      </c>
      <c r="P46" s="66" t="s">
        <v>225</v>
      </c>
      <c r="Q46" s="66" t="s">
        <v>875</v>
      </c>
      <c r="R46" s="66" t="s">
        <v>828</v>
      </c>
      <c r="S46" s="66" t="s">
        <v>901</v>
      </c>
      <c r="T46" s="68" t="s">
        <v>853</v>
      </c>
    </row>
    <row r="47" ht="19.5" spans="2:20">
      <c r="B47" s="69" t="s">
        <v>426</v>
      </c>
      <c r="C47" s="70" t="s">
        <v>838</v>
      </c>
      <c r="D47" s="70" t="s">
        <v>840</v>
      </c>
      <c r="E47" s="71" t="s">
        <v>377</v>
      </c>
      <c r="F47" s="70" t="s">
        <v>845</v>
      </c>
      <c r="G47" s="70" t="s">
        <v>857</v>
      </c>
      <c r="H47" s="70" t="s">
        <v>902</v>
      </c>
      <c r="I47" s="70" t="s">
        <v>824</v>
      </c>
      <c r="J47" s="70" t="s">
        <v>828</v>
      </c>
      <c r="K47" s="70" t="s">
        <v>829</v>
      </c>
      <c r="L47" s="70" t="s">
        <v>829</v>
      </c>
      <c r="M47" s="70" t="s">
        <v>828</v>
      </c>
      <c r="N47" s="70" t="s">
        <v>67</v>
      </c>
      <c r="O47" s="70" t="s">
        <v>431</v>
      </c>
      <c r="P47" s="70" t="s">
        <v>903</v>
      </c>
      <c r="Q47" s="70" t="s">
        <v>863</v>
      </c>
      <c r="R47" s="70" t="s">
        <v>829</v>
      </c>
      <c r="S47" s="70" t="s">
        <v>904</v>
      </c>
      <c r="T47" s="72" t="s">
        <v>824</v>
      </c>
    </row>
    <row r="48" ht="19.5" spans="2:20">
      <c r="B48" s="58" t="s">
        <v>428</v>
      </c>
      <c r="C48" s="59" t="s">
        <v>778</v>
      </c>
      <c r="D48" s="59" t="s">
        <v>782</v>
      </c>
      <c r="E48" s="59" t="s">
        <v>784</v>
      </c>
      <c r="F48" s="59" t="s">
        <v>380</v>
      </c>
      <c r="G48" s="59" t="s">
        <v>384</v>
      </c>
      <c r="H48" s="59" t="s">
        <v>382</v>
      </c>
      <c r="I48" s="59" t="s">
        <v>386</v>
      </c>
      <c r="J48" s="59" t="s">
        <v>802</v>
      </c>
      <c r="K48" s="59" t="s">
        <v>805</v>
      </c>
      <c r="L48" s="59" t="s">
        <v>808</v>
      </c>
      <c r="M48" s="59" t="s">
        <v>811</v>
      </c>
      <c r="N48" s="59" t="s">
        <v>813</v>
      </c>
      <c r="O48" s="59" t="s">
        <v>815</v>
      </c>
      <c r="P48" s="59" t="s">
        <v>817</v>
      </c>
      <c r="Q48" s="59" t="s">
        <v>818</v>
      </c>
      <c r="R48" s="59" t="s">
        <v>820</v>
      </c>
      <c r="S48" s="59" t="s">
        <v>55</v>
      </c>
      <c r="T48" s="60" t="s">
        <v>822</v>
      </c>
    </row>
    <row r="49" ht="19.5" spans="2:20">
      <c r="B49" s="88" t="s">
        <v>428</v>
      </c>
      <c r="C49" s="89" t="s">
        <v>67</v>
      </c>
      <c r="D49" s="89" t="s">
        <v>823</v>
      </c>
      <c r="E49" s="90" t="s">
        <v>381</v>
      </c>
      <c r="F49" s="89" t="s">
        <v>824</v>
      </c>
      <c r="G49" s="89" t="s">
        <v>825</v>
      </c>
      <c r="H49" s="89" t="s">
        <v>827</v>
      </c>
      <c r="I49" s="89" t="s">
        <v>858</v>
      </c>
      <c r="J49" s="89" t="s">
        <v>828</v>
      </c>
      <c r="K49" s="89" t="s">
        <v>828</v>
      </c>
      <c r="L49" s="89" t="s">
        <v>829</v>
      </c>
      <c r="M49" s="89" t="s">
        <v>829</v>
      </c>
      <c r="N49" s="89" t="s">
        <v>853</v>
      </c>
      <c r="O49" s="89" t="s">
        <v>67</v>
      </c>
      <c r="P49" s="89" t="s">
        <v>849</v>
      </c>
      <c r="Q49" s="89" t="s">
        <v>875</v>
      </c>
      <c r="R49" s="89" t="s">
        <v>832</v>
      </c>
      <c r="S49" s="89" t="s">
        <v>67</v>
      </c>
      <c r="T49" s="91" t="s">
        <v>824</v>
      </c>
    </row>
    <row r="50" spans="2:20">
      <c r="B50" s="65" t="s">
        <v>428</v>
      </c>
      <c r="C50" s="66" t="s">
        <v>225</v>
      </c>
      <c r="D50" s="66" t="s">
        <v>823</v>
      </c>
      <c r="E50" s="67" t="s">
        <v>385</v>
      </c>
      <c r="F50" s="66" t="s">
        <v>834</v>
      </c>
      <c r="G50" s="66" t="s">
        <v>824</v>
      </c>
      <c r="H50" s="66" t="s">
        <v>905</v>
      </c>
      <c r="I50" s="66" t="s">
        <v>858</v>
      </c>
      <c r="J50" s="66" t="s">
        <v>828</v>
      </c>
      <c r="K50" s="66" t="s">
        <v>67</v>
      </c>
      <c r="L50" s="66" t="s">
        <v>67</v>
      </c>
      <c r="M50" s="66" t="s">
        <v>67</v>
      </c>
      <c r="N50" s="66" t="s">
        <v>830</v>
      </c>
      <c r="O50" s="66" t="s">
        <v>830</v>
      </c>
      <c r="P50" s="66" t="s">
        <v>829</v>
      </c>
      <c r="Q50" s="66" t="s">
        <v>843</v>
      </c>
      <c r="R50" s="66" t="s">
        <v>838</v>
      </c>
      <c r="S50" s="66" t="s">
        <v>906</v>
      </c>
      <c r="T50" s="68" t="s">
        <v>824</v>
      </c>
    </row>
    <row r="51" spans="2:20">
      <c r="B51" s="65" t="s">
        <v>428</v>
      </c>
      <c r="C51" s="66" t="s">
        <v>828</v>
      </c>
      <c r="D51" s="66" t="s">
        <v>823</v>
      </c>
      <c r="E51" s="67" t="s">
        <v>383</v>
      </c>
      <c r="F51" s="66" t="s">
        <v>845</v>
      </c>
      <c r="G51" s="66" t="s">
        <v>905</v>
      </c>
      <c r="H51" s="66" t="s">
        <v>824</v>
      </c>
      <c r="I51" s="66" t="s">
        <v>842</v>
      </c>
      <c r="J51" s="66" t="s">
        <v>828</v>
      </c>
      <c r="K51" s="66" t="s">
        <v>67</v>
      </c>
      <c r="L51" s="66" t="s">
        <v>67</v>
      </c>
      <c r="M51" s="66" t="s">
        <v>67</v>
      </c>
      <c r="N51" s="66" t="s">
        <v>854</v>
      </c>
      <c r="O51" s="66" t="s">
        <v>849</v>
      </c>
      <c r="P51" s="66" t="s">
        <v>875</v>
      </c>
      <c r="Q51" s="66" t="s">
        <v>836</v>
      </c>
      <c r="R51" s="66" t="s">
        <v>838</v>
      </c>
      <c r="S51" s="66" t="s">
        <v>907</v>
      </c>
      <c r="T51" s="68" t="s">
        <v>830</v>
      </c>
    </row>
    <row r="52" ht="19.5" spans="2:20">
      <c r="B52" s="69" t="s">
        <v>428</v>
      </c>
      <c r="C52" s="70" t="s">
        <v>838</v>
      </c>
      <c r="D52" s="70" t="s">
        <v>840</v>
      </c>
      <c r="E52" s="71" t="s">
        <v>387</v>
      </c>
      <c r="F52" s="70" t="s">
        <v>862</v>
      </c>
      <c r="G52" s="70" t="s">
        <v>862</v>
      </c>
      <c r="H52" s="70" t="s">
        <v>846</v>
      </c>
      <c r="I52" s="70" t="s">
        <v>824</v>
      </c>
      <c r="J52" s="70" t="s">
        <v>828</v>
      </c>
      <c r="K52" s="70" t="s">
        <v>829</v>
      </c>
      <c r="L52" s="70" t="s">
        <v>829</v>
      </c>
      <c r="M52" s="70" t="s">
        <v>828</v>
      </c>
      <c r="N52" s="70" t="s">
        <v>828</v>
      </c>
      <c r="O52" s="70" t="s">
        <v>853</v>
      </c>
      <c r="P52" s="70" t="s">
        <v>855</v>
      </c>
      <c r="Q52" s="70" t="s">
        <v>843</v>
      </c>
      <c r="R52" s="70" t="s">
        <v>829</v>
      </c>
      <c r="S52" s="70" t="s">
        <v>908</v>
      </c>
      <c r="T52" s="72" t="s">
        <v>824</v>
      </c>
    </row>
    <row r="53" ht="19.5" spans="2:20">
      <c r="B53" s="58" t="s">
        <v>430</v>
      </c>
      <c r="C53" s="59" t="s">
        <v>778</v>
      </c>
      <c r="D53" s="59" t="s">
        <v>782</v>
      </c>
      <c r="E53" s="59" t="s">
        <v>784</v>
      </c>
      <c r="F53" s="59" t="s">
        <v>402</v>
      </c>
      <c r="G53" s="59" t="s">
        <v>388</v>
      </c>
      <c r="H53" s="59" t="s">
        <v>390</v>
      </c>
      <c r="I53" s="59" t="s">
        <v>400</v>
      </c>
      <c r="J53" s="59" t="s">
        <v>802</v>
      </c>
      <c r="K53" s="59" t="s">
        <v>805</v>
      </c>
      <c r="L53" s="59" t="s">
        <v>808</v>
      </c>
      <c r="M53" s="59" t="s">
        <v>811</v>
      </c>
      <c r="N53" s="59" t="s">
        <v>813</v>
      </c>
      <c r="O53" s="59" t="s">
        <v>815</v>
      </c>
      <c r="P53" s="59" t="s">
        <v>817</v>
      </c>
      <c r="Q53" s="59" t="s">
        <v>818</v>
      </c>
      <c r="R53" s="59" t="s">
        <v>820</v>
      </c>
      <c r="S53" s="59" t="s">
        <v>55</v>
      </c>
      <c r="T53" s="60" t="s">
        <v>822</v>
      </c>
    </row>
    <row r="54" ht="19.5" spans="2:20">
      <c r="B54" s="88" t="s">
        <v>430</v>
      </c>
      <c r="C54" s="89" t="s">
        <v>67</v>
      </c>
      <c r="D54" s="89" t="s">
        <v>823</v>
      </c>
      <c r="E54" s="90" t="s">
        <v>403</v>
      </c>
      <c r="F54" s="89" t="s">
        <v>824</v>
      </c>
      <c r="G54" s="89" t="s">
        <v>873</v>
      </c>
      <c r="H54" s="89" t="s">
        <v>826</v>
      </c>
      <c r="I54" s="89" t="s">
        <v>858</v>
      </c>
      <c r="J54" s="89" t="s">
        <v>828</v>
      </c>
      <c r="K54" s="89" t="s">
        <v>225</v>
      </c>
      <c r="L54" s="89" t="s">
        <v>67</v>
      </c>
      <c r="M54" s="89" t="s">
        <v>829</v>
      </c>
      <c r="N54" s="89" t="s">
        <v>838</v>
      </c>
      <c r="O54" s="89" t="s">
        <v>67</v>
      </c>
      <c r="P54" s="89" t="s">
        <v>828</v>
      </c>
      <c r="Q54" s="89" t="s">
        <v>843</v>
      </c>
      <c r="R54" s="89" t="s">
        <v>849</v>
      </c>
      <c r="S54" s="89" t="s">
        <v>909</v>
      </c>
      <c r="T54" s="91" t="s">
        <v>824</v>
      </c>
    </row>
    <row r="55" spans="2:20">
      <c r="B55" s="65" t="s">
        <v>430</v>
      </c>
      <c r="C55" s="66" t="s">
        <v>225</v>
      </c>
      <c r="D55" s="66" t="s">
        <v>823</v>
      </c>
      <c r="E55" s="67" t="s">
        <v>389</v>
      </c>
      <c r="F55" s="66" t="s">
        <v>873</v>
      </c>
      <c r="G55" s="66" t="s">
        <v>824</v>
      </c>
      <c r="H55" s="66" t="s">
        <v>835</v>
      </c>
      <c r="I55" s="66" t="s">
        <v>900</v>
      </c>
      <c r="J55" s="66" t="s">
        <v>828</v>
      </c>
      <c r="K55" s="66" t="s">
        <v>67</v>
      </c>
      <c r="L55" s="66" t="s">
        <v>225</v>
      </c>
      <c r="M55" s="66" t="s">
        <v>829</v>
      </c>
      <c r="N55" s="66" t="s">
        <v>830</v>
      </c>
      <c r="O55" s="66" t="s">
        <v>67</v>
      </c>
      <c r="P55" s="66" t="s">
        <v>854</v>
      </c>
      <c r="Q55" s="66" t="s">
        <v>843</v>
      </c>
      <c r="R55" s="66" t="s">
        <v>854</v>
      </c>
      <c r="S55" s="66" t="s">
        <v>854</v>
      </c>
      <c r="T55" s="68" t="s">
        <v>824</v>
      </c>
    </row>
    <row r="56" spans="2:20">
      <c r="B56" s="65" t="s">
        <v>430</v>
      </c>
      <c r="C56" s="66" t="s">
        <v>828</v>
      </c>
      <c r="D56" s="66" t="s">
        <v>823</v>
      </c>
      <c r="E56" s="67" t="s">
        <v>391</v>
      </c>
      <c r="F56" s="66" t="s">
        <v>841</v>
      </c>
      <c r="G56" s="66" t="s">
        <v>835</v>
      </c>
      <c r="H56" s="66" t="s">
        <v>824</v>
      </c>
      <c r="I56" s="66" t="s">
        <v>858</v>
      </c>
      <c r="J56" s="66" t="s">
        <v>828</v>
      </c>
      <c r="K56" s="66" t="s">
        <v>67</v>
      </c>
      <c r="L56" s="66" t="s">
        <v>67</v>
      </c>
      <c r="M56" s="66" t="s">
        <v>67</v>
      </c>
      <c r="N56" s="66" t="s">
        <v>838</v>
      </c>
      <c r="O56" s="66" t="s">
        <v>828</v>
      </c>
      <c r="P56" s="66" t="s">
        <v>67</v>
      </c>
      <c r="Q56" s="66" t="s">
        <v>855</v>
      </c>
      <c r="R56" s="66" t="s">
        <v>838</v>
      </c>
      <c r="S56" s="66" t="s">
        <v>910</v>
      </c>
      <c r="T56" s="68" t="s">
        <v>67</v>
      </c>
    </row>
    <row r="57" ht="19.5" spans="2:20">
      <c r="B57" s="69" t="s">
        <v>430</v>
      </c>
      <c r="C57" s="70" t="s">
        <v>838</v>
      </c>
      <c r="D57" s="70" t="s">
        <v>840</v>
      </c>
      <c r="E57" s="71" t="s">
        <v>401</v>
      </c>
      <c r="F57" s="70" t="s">
        <v>862</v>
      </c>
      <c r="G57" s="70" t="s">
        <v>902</v>
      </c>
      <c r="H57" s="70" t="s">
        <v>862</v>
      </c>
      <c r="I57" s="70" t="s">
        <v>824</v>
      </c>
      <c r="J57" s="70" t="s">
        <v>828</v>
      </c>
      <c r="K57" s="70" t="s">
        <v>829</v>
      </c>
      <c r="L57" s="70" t="s">
        <v>829</v>
      </c>
      <c r="M57" s="70" t="s">
        <v>828</v>
      </c>
      <c r="N57" s="70" t="s">
        <v>225</v>
      </c>
      <c r="O57" s="70" t="s">
        <v>429</v>
      </c>
      <c r="P57" s="70" t="s">
        <v>896</v>
      </c>
      <c r="Q57" s="70" t="s">
        <v>843</v>
      </c>
      <c r="R57" s="70" t="s">
        <v>829</v>
      </c>
      <c r="S57" s="70" t="s">
        <v>911</v>
      </c>
      <c r="T57" s="72" t="s">
        <v>824</v>
      </c>
    </row>
    <row r="58" ht="19.5" spans="2:20">
      <c r="B58" s="58" t="s">
        <v>432</v>
      </c>
      <c r="C58" s="59" t="s">
        <v>778</v>
      </c>
      <c r="D58" s="59" t="s">
        <v>782</v>
      </c>
      <c r="E58" s="59" t="s">
        <v>784</v>
      </c>
      <c r="F58" s="59" t="s">
        <v>392</v>
      </c>
      <c r="G58" s="59" t="s">
        <v>394</v>
      </c>
      <c r="H58" s="59" t="s">
        <v>396</v>
      </c>
      <c r="I58" s="59" t="s">
        <v>398</v>
      </c>
      <c r="J58" s="59" t="s">
        <v>802</v>
      </c>
      <c r="K58" s="59" t="s">
        <v>805</v>
      </c>
      <c r="L58" s="59" t="s">
        <v>808</v>
      </c>
      <c r="M58" s="59" t="s">
        <v>811</v>
      </c>
      <c r="N58" s="59" t="s">
        <v>813</v>
      </c>
      <c r="O58" s="59" t="s">
        <v>815</v>
      </c>
      <c r="P58" s="59" t="s">
        <v>817</v>
      </c>
      <c r="Q58" s="59" t="s">
        <v>818</v>
      </c>
      <c r="R58" s="59" t="s">
        <v>820</v>
      </c>
      <c r="S58" s="59" t="s">
        <v>55</v>
      </c>
      <c r="T58" s="60" t="s">
        <v>822</v>
      </c>
    </row>
    <row r="59" ht="19.5" spans="2:20">
      <c r="B59" s="88" t="s">
        <v>432</v>
      </c>
      <c r="C59" s="89" t="s">
        <v>67</v>
      </c>
      <c r="D59" s="89" t="s">
        <v>823</v>
      </c>
      <c r="E59" s="90" t="s">
        <v>393</v>
      </c>
      <c r="F59" s="89" t="s">
        <v>824</v>
      </c>
      <c r="G59" s="89" t="s">
        <v>866</v>
      </c>
      <c r="H59" s="89" t="s">
        <v>873</v>
      </c>
      <c r="I59" s="89" t="s">
        <v>825</v>
      </c>
      <c r="J59" s="89" t="s">
        <v>828</v>
      </c>
      <c r="K59" s="89" t="s">
        <v>225</v>
      </c>
      <c r="L59" s="89" t="s">
        <v>67</v>
      </c>
      <c r="M59" s="89" t="s">
        <v>829</v>
      </c>
      <c r="N59" s="89" t="s">
        <v>830</v>
      </c>
      <c r="O59" s="89" t="s">
        <v>225</v>
      </c>
      <c r="P59" s="89" t="s">
        <v>838</v>
      </c>
      <c r="Q59" s="89" t="s">
        <v>875</v>
      </c>
      <c r="R59" s="89" t="s">
        <v>849</v>
      </c>
      <c r="S59" s="89" t="s">
        <v>838</v>
      </c>
      <c r="T59" s="91" t="s">
        <v>824</v>
      </c>
    </row>
    <row r="60" spans="2:20">
      <c r="B60" s="65" t="s">
        <v>432</v>
      </c>
      <c r="C60" s="66" t="s">
        <v>225</v>
      </c>
      <c r="D60" s="66" t="s">
        <v>823</v>
      </c>
      <c r="E60" s="67" t="s">
        <v>395</v>
      </c>
      <c r="F60" s="66" t="s">
        <v>868</v>
      </c>
      <c r="G60" s="66" t="s">
        <v>824</v>
      </c>
      <c r="H60" s="66" t="s">
        <v>842</v>
      </c>
      <c r="I60" s="66" t="s">
        <v>826</v>
      </c>
      <c r="J60" s="66" t="s">
        <v>828</v>
      </c>
      <c r="K60" s="66" t="s">
        <v>225</v>
      </c>
      <c r="L60" s="66" t="s">
        <v>829</v>
      </c>
      <c r="M60" s="66" t="s">
        <v>67</v>
      </c>
      <c r="N60" s="66" t="s">
        <v>854</v>
      </c>
      <c r="O60" s="66" t="s">
        <v>854</v>
      </c>
      <c r="P60" s="66" t="s">
        <v>829</v>
      </c>
      <c r="Q60" s="66" t="s">
        <v>875</v>
      </c>
      <c r="R60" s="66" t="s">
        <v>830</v>
      </c>
      <c r="S60" s="66" t="s">
        <v>429</v>
      </c>
      <c r="T60" s="68" t="s">
        <v>824</v>
      </c>
    </row>
    <row r="61" spans="2:20">
      <c r="B61" s="65" t="s">
        <v>432</v>
      </c>
      <c r="C61" s="66" t="s">
        <v>828</v>
      </c>
      <c r="D61" s="66" t="s">
        <v>823</v>
      </c>
      <c r="E61" s="67" t="s">
        <v>397</v>
      </c>
      <c r="F61" s="66" t="s">
        <v>873</v>
      </c>
      <c r="G61" s="66" t="s">
        <v>846</v>
      </c>
      <c r="H61" s="66" t="s">
        <v>824</v>
      </c>
      <c r="I61" s="66" t="s">
        <v>826</v>
      </c>
      <c r="J61" s="66" t="s">
        <v>828</v>
      </c>
      <c r="K61" s="66" t="s">
        <v>67</v>
      </c>
      <c r="L61" s="66" t="s">
        <v>67</v>
      </c>
      <c r="M61" s="66" t="s">
        <v>67</v>
      </c>
      <c r="N61" s="66" t="s">
        <v>225</v>
      </c>
      <c r="O61" s="66" t="s">
        <v>225</v>
      </c>
      <c r="P61" s="66" t="s">
        <v>829</v>
      </c>
      <c r="Q61" s="66" t="s">
        <v>850</v>
      </c>
      <c r="R61" s="66" t="s">
        <v>838</v>
      </c>
      <c r="S61" s="66" t="s">
        <v>912</v>
      </c>
      <c r="T61" s="68" t="s">
        <v>828</v>
      </c>
    </row>
    <row r="62" ht="19.5" spans="2:20">
      <c r="B62" s="92" t="s">
        <v>432</v>
      </c>
      <c r="C62" s="93" t="s">
        <v>838</v>
      </c>
      <c r="D62" s="93" t="s">
        <v>840</v>
      </c>
      <c r="E62" s="94" t="s">
        <v>399</v>
      </c>
      <c r="F62" s="93" t="s">
        <v>834</v>
      </c>
      <c r="G62" s="93" t="s">
        <v>841</v>
      </c>
      <c r="H62" s="93" t="s">
        <v>841</v>
      </c>
      <c r="I62" s="93" t="s">
        <v>824</v>
      </c>
      <c r="J62" s="93" t="s">
        <v>828</v>
      </c>
      <c r="K62" s="93" t="s">
        <v>829</v>
      </c>
      <c r="L62" s="93" t="s">
        <v>829</v>
      </c>
      <c r="M62" s="93" t="s">
        <v>828</v>
      </c>
      <c r="N62" s="93" t="s">
        <v>829</v>
      </c>
      <c r="O62" s="93" t="s">
        <v>838</v>
      </c>
      <c r="P62" s="93" t="s">
        <v>843</v>
      </c>
      <c r="Q62" s="93" t="s">
        <v>855</v>
      </c>
      <c r="R62" s="93" t="s">
        <v>829</v>
      </c>
      <c r="S62" s="93" t="s">
        <v>913</v>
      </c>
      <c r="T62" s="95" t="s">
        <v>824</v>
      </c>
    </row>
    <row r="63" ht="19.5"/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9">
      <c r="B2" s="1" t="s">
        <v>46</v>
      </c>
      <c r="C2" s="1"/>
      <c r="D2" s="1"/>
      <c r="E2" s="2" t="s">
        <v>47</v>
      </c>
      <c r="H2" t="s">
        <v>765</v>
      </c>
    </row>
    <row r="3" spans="2:9">
      <c r="B3" s="3" t="s">
        <v>35</v>
      </c>
      <c r="C3" s="3"/>
      <c r="D3" s="3"/>
      <c r="E3" s="4" t="s">
        <v>56</v>
      </c>
      <c r="I3" t="s">
        <v>766</v>
      </c>
    </row>
    <row r="4" spans="2:9">
      <c r="B4" s="1" t="s">
        <v>48</v>
      </c>
      <c r="C4" s="1"/>
      <c r="D4" s="1"/>
      <c r="E4" s="1"/>
    </row>
    <row r="5" spans="2:9">
      <c r="B5" s="3" t="s">
        <v>914</v>
      </c>
      <c r="C5" s="3"/>
      <c r="D5" s="3"/>
      <c r="E5" s="3"/>
    </row>
    <row r="7" spans="2:9">
      <c r="B7" s="5" t="s">
        <v>79</v>
      </c>
      <c r="C7" s="5" t="s">
        <v>80</v>
      </c>
      <c r="D7" s="5" t="s">
        <v>771</v>
      </c>
      <c r="E7" s="5" t="s">
        <v>48</v>
      </c>
    </row>
    <row r="8" spans="2:9">
      <c r="B8" s="35" t="s">
        <v>404</v>
      </c>
      <c r="C8" s="4"/>
      <c r="D8" s="4"/>
      <c r="E8" s="35" t="s">
        <v>417</v>
      </c>
    </row>
    <row r="9" spans="2:9">
      <c r="B9" s="35" t="s">
        <v>777</v>
      </c>
      <c r="C9" s="4"/>
      <c r="D9" s="4"/>
      <c r="E9" s="35" t="s">
        <v>778</v>
      </c>
    </row>
    <row r="10" spans="2:9">
      <c r="B10" s="35" t="s">
        <v>290</v>
      </c>
      <c r="C10" s="4"/>
      <c r="D10" s="4"/>
      <c r="E10" s="35" t="s">
        <v>315</v>
      </c>
    </row>
    <row r="11" spans="2:9">
      <c r="B11" s="35" t="s">
        <v>800</v>
      </c>
      <c r="C11" s="4"/>
      <c r="D11" s="4"/>
      <c r="E11" s="35" t="s">
        <v>801</v>
      </c>
    </row>
    <row r="12" spans="2:9">
      <c r="B12" s="35" t="s">
        <v>803</v>
      </c>
      <c r="C12" s="4"/>
      <c r="D12" s="4"/>
      <c r="E12" s="35" t="s">
        <v>804</v>
      </c>
    </row>
    <row r="13" spans="2:9">
      <c r="B13" s="35" t="s">
        <v>806</v>
      </c>
      <c r="C13" s="4"/>
      <c r="D13" s="4"/>
      <c r="E13" s="35" t="s">
        <v>807</v>
      </c>
    </row>
    <row r="14" spans="2:9">
      <c r="B14" s="35" t="s">
        <v>809</v>
      </c>
      <c r="C14" s="4"/>
      <c r="D14" s="4"/>
      <c r="E14" s="35" t="s">
        <v>810</v>
      </c>
    </row>
    <row r="15" spans="2:9">
      <c r="B15" s="35" t="s">
        <v>812</v>
      </c>
      <c r="C15" s="4"/>
      <c r="D15" s="4"/>
      <c r="E15" s="35" t="s">
        <v>813</v>
      </c>
    </row>
    <row r="16" spans="2:9">
      <c r="B16" s="35" t="s">
        <v>814</v>
      </c>
      <c r="C16" s="4"/>
      <c r="D16" s="4"/>
      <c r="E16" s="35" t="s">
        <v>815</v>
      </c>
    </row>
    <row r="17" spans="2:5">
      <c r="B17" s="35" t="s">
        <v>816</v>
      </c>
      <c r="C17" s="4"/>
      <c r="D17" s="4"/>
      <c r="E17" s="35" t="s">
        <v>817</v>
      </c>
    </row>
    <row r="18" spans="2:5">
      <c r="B18" s="35" t="s">
        <v>293</v>
      </c>
      <c r="C18" s="35"/>
      <c r="D18" s="35"/>
      <c r="E18" s="35" t="s">
        <v>325</v>
      </c>
    </row>
    <row r="19" spans="2:5">
      <c r="B19" s="35" t="s">
        <v>819</v>
      </c>
      <c r="C19" s="4"/>
      <c r="D19" s="4"/>
      <c r="E19" s="35" t="s">
        <v>820</v>
      </c>
    </row>
    <row r="20" spans="2:5">
      <c r="B20" s="35" t="s">
        <v>436</v>
      </c>
      <c r="C20" s="4"/>
      <c r="D20" s="4"/>
      <c r="E20" s="35" t="s">
        <v>55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9">
      <c r="B2" s="1" t="s">
        <v>46</v>
      </c>
      <c r="C2" s="1"/>
      <c r="D2" s="1"/>
      <c r="E2" s="2" t="s">
        <v>47</v>
      </c>
    </row>
    <row r="3" spans="2:9">
      <c r="B3" s="3" t="s">
        <v>36</v>
      </c>
      <c r="C3" s="3"/>
      <c r="D3" s="3"/>
      <c r="E3" s="4" t="s">
        <v>58</v>
      </c>
    </row>
    <row r="4" spans="2:9">
      <c r="B4" s="1" t="s">
        <v>48</v>
      </c>
      <c r="C4" s="1"/>
      <c r="D4" s="1"/>
      <c r="E4" s="1"/>
      <c r="H4" t="s">
        <v>767</v>
      </c>
    </row>
    <row r="5" spans="2:9">
      <c r="B5" s="3" t="s">
        <v>915</v>
      </c>
      <c r="C5" s="3"/>
      <c r="D5" s="3"/>
      <c r="E5" s="3"/>
      <c r="I5" t="s">
        <v>769</v>
      </c>
    </row>
    <row r="6" spans="2:9">
      <c r="I6" t="s">
        <v>770</v>
      </c>
    </row>
    <row r="7" spans="2:9">
      <c r="B7" s="5" t="s">
        <v>79</v>
      </c>
      <c r="C7" s="5" t="s">
        <v>80</v>
      </c>
      <c r="D7" s="5" t="s">
        <v>771</v>
      </c>
      <c r="E7" s="5" t="s">
        <v>48</v>
      </c>
      <c r="I7" t="s">
        <v>774</v>
      </c>
    </row>
    <row r="8" spans="2:9">
      <c r="B8" s="35" t="s">
        <v>404</v>
      </c>
      <c r="C8" s="4"/>
      <c r="D8" s="4"/>
      <c r="E8" s="35" t="s">
        <v>417</v>
      </c>
      <c r="F8"/>
      <c r="I8" t="s">
        <v>776</v>
      </c>
    </row>
    <row r="9" spans="2:9">
      <c r="B9" s="35" t="s">
        <v>777</v>
      </c>
      <c r="C9" s="4"/>
      <c r="D9" s="4"/>
      <c r="E9" s="35" t="s">
        <v>778</v>
      </c>
    </row>
    <row r="10" spans="2:9">
      <c r="B10" s="35" t="s">
        <v>290</v>
      </c>
      <c r="C10" s="4"/>
      <c r="D10" s="4"/>
      <c r="E10" s="35" t="s">
        <v>315</v>
      </c>
    </row>
    <row r="11" spans="2:9">
      <c r="B11" s="35" t="s">
        <v>800</v>
      </c>
      <c r="C11" s="4"/>
      <c r="D11" s="4"/>
      <c r="E11" s="35" t="s">
        <v>801</v>
      </c>
    </row>
    <row r="12" spans="2:9">
      <c r="B12" s="35" t="s">
        <v>803</v>
      </c>
      <c r="C12" s="4"/>
      <c r="D12" s="4"/>
      <c r="E12" s="35" t="s">
        <v>804</v>
      </c>
    </row>
    <row r="13" spans="2:9">
      <c r="B13" s="35" t="s">
        <v>806</v>
      </c>
      <c r="C13" s="4"/>
      <c r="D13" s="4"/>
      <c r="E13" s="35" t="s">
        <v>807</v>
      </c>
    </row>
    <row r="14" spans="2:9">
      <c r="B14" s="35" t="s">
        <v>809</v>
      </c>
      <c r="C14" s="4"/>
      <c r="D14" s="4"/>
      <c r="E14" s="35" t="s">
        <v>810</v>
      </c>
    </row>
    <row r="15" spans="2:9">
      <c r="B15" s="35" t="s">
        <v>812</v>
      </c>
      <c r="C15" s="4"/>
      <c r="D15" s="4"/>
      <c r="E15" s="35" t="s">
        <v>813</v>
      </c>
    </row>
    <row r="16" spans="2:9">
      <c r="B16" s="35" t="s">
        <v>814</v>
      </c>
      <c r="C16" s="4"/>
      <c r="D16" s="4"/>
      <c r="E16" s="35" t="s">
        <v>815</v>
      </c>
    </row>
    <row r="17" spans="2:5">
      <c r="B17" s="35" t="s">
        <v>816</v>
      </c>
      <c r="C17" s="4"/>
      <c r="D17" s="4"/>
      <c r="E17" s="35" t="s">
        <v>817</v>
      </c>
    </row>
    <row r="18" spans="2:5">
      <c r="B18" s="35" t="s">
        <v>293</v>
      </c>
      <c r="C18" s="35"/>
      <c r="D18" s="35"/>
      <c r="E18" s="35" t="s">
        <v>325</v>
      </c>
    </row>
    <row r="19" spans="2:5">
      <c r="B19" s="35" t="s">
        <v>819</v>
      </c>
      <c r="C19" s="4"/>
      <c r="D19" s="4"/>
      <c r="E19" s="35" t="s">
        <v>820</v>
      </c>
    </row>
    <row r="20" spans="2:5">
      <c r="B20" s="35" t="s">
        <v>436</v>
      </c>
      <c r="C20" s="4"/>
      <c r="D20" s="4"/>
      <c r="E20" s="35" t="s">
        <v>55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9">
      <c r="B2" s="1" t="s">
        <v>46</v>
      </c>
      <c r="C2" s="1"/>
      <c r="D2" s="1"/>
      <c r="E2" s="2" t="s">
        <v>47</v>
      </c>
    </row>
    <row r="3" spans="2:9">
      <c r="B3" s="3" t="s">
        <v>37</v>
      </c>
      <c r="C3" s="3"/>
      <c r="D3" s="3"/>
      <c r="E3" s="4" t="s">
        <v>56</v>
      </c>
    </row>
    <row r="4" spans="2:9">
      <c r="B4" s="1" t="s">
        <v>48</v>
      </c>
      <c r="C4" s="1"/>
      <c r="D4" s="1"/>
      <c r="E4" s="1"/>
    </row>
    <row r="5" spans="2:9">
      <c r="B5" s="3" t="s">
        <v>916</v>
      </c>
      <c r="C5" s="3"/>
      <c r="D5" s="3"/>
      <c r="E5" s="3"/>
    </row>
    <row r="7" spans="2:9">
      <c r="B7" s="5" t="s">
        <v>79</v>
      </c>
      <c r="C7" s="5" t="s">
        <v>80</v>
      </c>
      <c r="D7" s="5" t="s">
        <v>771</v>
      </c>
      <c r="E7" s="5" t="s">
        <v>48</v>
      </c>
    </row>
    <row r="8" spans="2:9">
      <c r="B8" s="35" t="s">
        <v>404</v>
      </c>
      <c r="C8" s="4"/>
      <c r="D8" s="4"/>
      <c r="E8" s="35" t="s">
        <v>417</v>
      </c>
    </row>
    <row r="9" spans="2:9">
      <c r="B9" s="35" t="s">
        <v>777</v>
      </c>
      <c r="C9" s="4"/>
      <c r="D9" s="4"/>
      <c r="E9" s="35" t="s">
        <v>778</v>
      </c>
      <c r="H9" t="s">
        <v>779</v>
      </c>
    </row>
    <row r="10" spans="2:9">
      <c r="B10" s="35" t="s">
        <v>290</v>
      </c>
      <c r="C10" s="4"/>
      <c r="D10" s="4"/>
      <c r="E10" s="35" t="s">
        <v>315</v>
      </c>
      <c r="I10" t="s">
        <v>783</v>
      </c>
    </row>
    <row r="11" spans="2:9">
      <c r="B11" s="35" t="s">
        <v>800</v>
      </c>
      <c r="C11" s="4"/>
      <c r="D11" s="4"/>
      <c r="E11" s="35" t="s">
        <v>801</v>
      </c>
      <c r="I11" t="s">
        <v>785</v>
      </c>
    </row>
    <row r="12" spans="2:9">
      <c r="B12" s="35" t="s">
        <v>803</v>
      </c>
      <c r="C12" s="4"/>
      <c r="D12" s="4"/>
      <c r="E12" s="35" t="s">
        <v>804</v>
      </c>
      <c r="I12" t="s">
        <v>299</v>
      </c>
    </row>
    <row r="13" spans="2:9">
      <c r="B13" s="35" t="s">
        <v>806</v>
      </c>
      <c r="C13" s="4"/>
      <c r="D13" s="4"/>
      <c r="E13" s="35" t="s">
        <v>807</v>
      </c>
      <c r="I13" t="s">
        <v>792</v>
      </c>
    </row>
    <row r="14" spans="2:9">
      <c r="B14" s="35" t="s">
        <v>809</v>
      </c>
      <c r="C14" s="4"/>
      <c r="D14" s="4"/>
      <c r="E14" s="35" t="s">
        <v>810</v>
      </c>
    </row>
    <row r="15" spans="2:9">
      <c r="B15" s="35" t="s">
        <v>812</v>
      </c>
      <c r="C15" s="4"/>
      <c r="D15" s="4"/>
      <c r="E15" s="35" t="s">
        <v>813</v>
      </c>
    </row>
    <row r="16" spans="2:9">
      <c r="B16" s="35" t="s">
        <v>814</v>
      </c>
      <c r="C16" s="4"/>
      <c r="D16" s="4"/>
      <c r="E16" s="35" t="s">
        <v>815</v>
      </c>
    </row>
    <row r="17" spans="2:5">
      <c r="B17" s="35" t="s">
        <v>816</v>
      </c>
      <c r="C17" s="4"/>
      <c r="D17" s="4"/>
      <c r="E17" s="35" t="s">
        <v>817</v>
      </c>
    </row>
    <row r="18" spans="2:5">
      <c r="B18" s="35" t="s">
        <v>293</v>
      </c>
      <c r="C18" s="35"/>
      <c r="D18" s="35"/>
      <c r="E18" s="35" t="s">
        <v>325</v>
      </c>
    </row>
    <row r="19" spans="2:5">
      <c r="B19" s="35" t="s">
        <v>819</v>
      </c>
      <c r="C19" s="4"/>
      <c r="D19" s="4"/>
      <c r="E19" s="35" t="s">
        <v>820</v>
      </c>
    </row>
    <row r="20" spans="2:5">
      <c r="B20" s="35" t="s">
        <v>436</v>
      </c>
      <c r="C20" s="4"/>
      <c r="D20" s="4"/>
      <c r="E20" s="35" t="s">
        <v>55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9">
      <c r="B2" s="1" t="s">
        <v>46</v>
      </c>
      <c r="C2" s="1"/>
      <c r="D2" s="1"/>
      <c r="E2" s="2" t="s">
        <v>47</v>
      </c>
    </row>
    <row r="3" spans="2:9">
      <c r="B3" s="3" t="s">
        <v>38</v>
      </c>
      <c r="C3" s="3"/>
      <c r="D3" s="3"/>
      <c r="E3" s="4" t="s">
        <v>56</v>
      </c>
    </row>
    <row r="4" spans="2:9">
      <c r="B4" s="1" t="s">
        <v>48</v>
      </c>
      <c r="C4" s="1"/>
      <c r="D4" s="1"/>
      <c r="E4" s="1"/>
    </row>
    <row r="5" spans="2:9">
      <c r="B5" s="3" t="s">
        <v>917</v>
      </c>
      <c r="C5" s="3"/>
      <c r="D5" s="3"/>
      <c r="E5" s="3"/>
    </row>
    <row r="7" spans="2:9">
      <c r="B7" s="5" t="s">
        <v>79</v>
      </c>
      <c r="C7" s="5" t="s">
        <v>80</v>
      </c>
      <c r="D7" s="5" t="s">
        <v>771</v>
      </c>
      <c r="E7" s="5" t="s">
        <v>48</v>
      </c>
    </row>
    <row r="8" spans="2:9">
      <c r="B8" s="35" t="s">
        <v>404</v>
      </c>
      <c r="C8" s="4"/>
      <c r="D8" s="4"/>
      <c r="E8" s="35" t="s">
        <v>417</v>
      </c>
    </row>
    <row r="9" spans="2:9">
      <c r="B9" s="35" t="s">
        <v>777</v>
      </c>
      <c r="C9" s="4"/>
      <c r="D9" s="4"/>
      <c r="E9" s="35" t="s">
        <v>778</v>
      </c>
    </row>
    <row r="10" spans="2:9">
      <c r="B10" s="35" t="s">
        <v>290</v>
      </c>
      <c r="C10" s="4"/>
      <c r="D10" s="4"/>
      <c r="E10" s="35" t="s">
        <v>315</v>
      </c>
    </row>
    <row r="11" spans="2:9">
      <c r="B11" s="35" t="s">
        <v>800</v>
      </c>
      <c r="C11" s="4"/>
      <c r="D11" s="4"/>
      <c r="E11" s="35" t="s">
        <v>801</v>
      </c>
    </row>
    <row r="12" spans="2:9">
      <c r="B12" s="35" t="s">
        <v>803</v>
      </c>
      <c r="C12" s="4"/>
      <c r="D12" s="4"/>
      <c r="E12" s="35" t="s">
        <v>804</v>
      </c>
    </row>
    <row r="13" spans="2:9">
      <c r="B13" s="35" t="s">
        <v>806</v>
      </c>
      <c r="C13" s="4"/>
      <c r="D13" s="4"/>
      <c r="E13" s="35" t="s">
        <v>807</v>
      </c>
    </row>
    <row r="14" spans="2:9">
      <c r="B14" s="35" t="s">
        <v>809</v>
      </c>
      <c r="C14" s="4"/>
      <c r="D14" s="4"/>
      <c r="E14" s="35" t="s">
        <v>810</v>
      </c>
      <c r="H14" t="s">
        <v>796</v>
      </c>
    </row>
    <row r="15" spans="2:9">
      <c r="B15" s="35" t="s">
        <v>812</v>
      </c>
      <c r="C15" s="4"/>
      <c r="D15" s="4"/>
      <c r="E15" s="35" t="s">
        <v>813</v>
      </c>
      <c r="I15" t="s">
        <v>55</v>
      </c>
    </row>
    <row r="16" spans="2:9">
      <c r="B16" s="35" t="s">
        <v>814</v>
      </c>
      <c r="C16" s="4"/>
      <c r="D16" s="4"/>
      <c r="E16" s="35" t="s">
        <v>815</v>
      </c>
    </row>
    <row r="17" spans="2:5">
      <c r="B17" s="35" t="s">
        <v>816</v>
      </c>
      <c r="C17" s="4"/>
      <c r="D17" s="4"/>
      <c r="E17" s="35" t="s">
        <v>817</v>
      </c>
    </row>
    <row r="18" spans="2:5">
      <c r="B18" s="35" t="s">
        <v>293</v>
      </c>
      <c r="C18" s="35"/>
      <c r="D18" s="35"/>
      <c r="E18" s="35" t="s">
        <v>325</v>
      </c>
    </row>
    <row r="19" spans="2:5">
      <c r="B19" s="35" t="s">
        <v>819</v>
      </c>
      <c r="C19" s="4"/>
      <c r="D19" s="4"/>
      <c r="E19" s="35" t="s">
        <v>820</v>
      </c>
    </row>
    <row r="20" spans="2:5">
      <c r="B20" s="35" t="s">
        <v>436</v>
      </c>
      <c r="C20" s="4"/>
      <c r="D20" s="4"/>
      <c r="E20" s="35" t="s">
        <v>55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0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7">
      <c r="B2" s="1" t="s">
        <v>46</v>
      </c>
      <c r="C2" s="1"/>
      <c r="D2" s="1"/>
      <c r="E2" s="2" t="s">
        <v>47</v>
      </c>
      <c r="G2" t="s">
        <v>918</v>
      </c>
    </row>
    <row r="3" spans="2:7">
      <c r="B3" s="3" t="s">
        <v>39</v>
      </c>
      <c r="C3" s="3"/>
      <c r="D3" s="3"/>
      <c r="E3" s="4" t="s">
        <v>56</v>
      </c>
      <c r="G3" t="s">
        <v>919</v>
      </c>
    </row>
    <row r="4" spans="2:7">
      <c r="B4" s="1" t="s">
        <v>48</v>
      </c>
      <c r="C4" s="1"/>
      <c r="D4" s="1"/>
      <c r="E4" s="1"/>
      <c r="G4" t="s">
        <v>920</v>
      </c>
    </row>
    <row r="5" spans="2:7">
      <c r="B5" s="3" t="s">
        <v>921</v>
      </c>
      <c r="C5" s="3"/>
      <c r="D5" s="3"/>
      <c r="E5" s="3"/>
      <c r="G5" t="s">
        <v>299</v>
      </c>
    </row>
    <row r="6" spans="2:7">
      <c r="G6" t="s">
        <v>55</v>
      </c>
    </row>
    <row r="7" spans="2:7">
      <c r="B7" s="5" t="s">
        <v>79</v>
      </c>
      <c r="C7" s="5" t="s">
        <v>80</v>
      </c>
      <c r="D7" s="5" t="s">
        <v>771</v>
      </c>
      <c r="E7" s="5" t="s">
        <v>48</v>
      </c>
    </row>
    <row r="8" spans="2:7">
      <c r="B8" s="35" t="s">
        <v>404</v>
      </c>
      <c r="C8" s="4"/>
      <c r="D8" s="4"/>
      <c r="E8" s="35" t="s">
        <v>417</v>
      </c>
    </row>
    <row r="9" spans="2:7">
      <c r="B9" s="35" t="s">
        <v>777</v>
      </c>
      <c r="C9" s="4"/>
      <c r="D9" s="4"/>
      <c r="E9" s="35" t="s">
        <v>778</v>
      </c>
    </row>
    <row r="10" spans="2:7">
      <c r="B10" s="35" t="s">
        <v>290</v>
      </c>
      <c r="C10" s="4"/>
      <c r="D10" s="4"/>
      <c r="E10" s="35" t="s">
        <v>315</v>
      </c>
    </row>
    <row r="11" spans="2:7">
      <c r="B11" s="35" t="s">
        <v>800</v>
      </c>
      <c r="C11" s="4"/>
      <c r="D11" s="4"/>
      <c r="E11" s="35" t="s">
        <v>801</v>
      </c>
    </row>
    <row r="12" spans="2:7">
      <c r="B12" s="35" t="s">
        <v>803</v>
      </c>
      <c r="C12" s="4"/>
      <c r="D12" s="4"/>
      <c r="E12" s="35" t="s">
        <v>804</v>
      </c>
    </row>
    <row r="13" spans="2:7">
      <c r="B13" s="35" t="s">
        <v>806</v>
      </c>
      <c r="C13" s="4"/>
      <c r="D13" s="4"/>
      <c r="E13" s="35" t="s">
        <v>807</v>
      </c>
    </row>
    <row r="14" spans="2:7">
      <c r="B14" s="35" t="s">
        <v>809</v>
      </c>
      <c r="C14" s="4"/>
      <c r="D14" s="4"/>
      <c r="E14" s="35" t="s">
        <v>810</v>
      </c>
    </row>
    <row r="15" spans="2:7">
      <c r="B15" s="35" t="s">
        <v>812</v>
      </c>
      <c r="C15" s="4"/>
      <c r="D15" s="4"/>
      <c r="E15" s="35" t="s">
        <v>813</v>
      </c>
    </row>
    <row r="16" spans="2:7">
      <c r="B16" s="35" t="s">
        <v>814</v>
      </c>
      <c r="C16" s="4"/>
      <c r="D16" s="4"/>
      <c r="E16" s="35" t="s">
        <v>815</v>
      </c>
    </row>
    <row r="17" spans="2:5">
      <c r="B17" s="35" t="s">
        <v>816</v>
      </c>
      <c r="C17" s="4"/>
      <c r="D17" s="4"/>
      <c r="E17" s="35" t="s">
        <v>817</v>
      </c>
    </row>
    <row r="18" spans="2:5">
      <c r="B18" s="35" t="s">
        <v>293</v>
      </c>
      <c r="C18" s="35"/>
      <c r="D18" s="35"/>
      <c r="E18" s="35" t="s">
        <v>325</v>
      </c>
    </row>
    <row r="19" spans="2:5">
      <c r="B19" s="35" t="s">
        <v>819</v>
      </c>
      <c r="C19" s="4"/>
      <c r="D19" s="4"/>
      <c r="E19" s="35" t="s">
        <v>820</v>
      </c>
    </row>
    <row r="20" spans="2:5">
      <c r="B20" s="35" t="s">
        <v>436</v>
      </c>
      <c r="C20" s="4"/>
      <c r="D20" s="4"/>
      <c r="E20" s="35" t="s">
        <v>55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46</v>
      </c>
      <c r="C2" s="1"/>
      <c r="D2" s="1"/>
      <c r="E2" s="2" t="s">
        <v>47</v>
      </c>
    </row>
    <row r="3" spans="2:5">
      <c r="B3" s="3" t="s">
        <v>41</v>
      </c>
      <c r="C3" s="3"/>
      <c r="D3" s="3"/>
      <c r="E3" s="4" t="s">
        <v>56</v>
      </c>
    </row>
    <row r="4" spans="2:5">
      <c r="B4" s="1" t="s">
        <v>48</v>
      </c>
      <c r="C4" s="1"/>
      <c r="D4" s="1"/>
      <c r="E4" s="1"/>
    </row>
    <row r="5" spans="2:5">
      <c r="B5" s="3" t="s">
        <v>57</v>
      </c>
      <c r="C5" s="3"/>
      <c r="D5" s="3"/>
      <c r="E5" s="3"/>
    </row>
    <row r="7" spans="2:5">
      <c r="B7" s="5" t="s">
        <v>79</v>
      </c>
      <c r="C7" s="5" t="s">
        <v>80</v>
      </c>
      <c r="D7" s="5" t="s">
        <v>771</v>
      </c>
      <c r="E7" s="5" t="s">
        <v>48</v>
      </c>
    </row>
    <row r="8" spans="2:5">
      <c r="B8" s="35" t="s">
        <v>404</v>
      </c>
      <c r="C8" s="4"/>
      <c r="D8" s="4"/>
      <c r="E8" s="35" t="s">
        <v>417</v>
      </c>
    </row>
    <row r="9" spans="2:5">
      <c r="B9" s="35" t="s">
        <v>777</v>
      </c>
      <c r="C9" s="4"/>
      <c r="D9" s="4"/>
      <c r="E9" s="35" t="s">
        <v>778</v>
      </c>
    </row>
    <row r="10" spans="2:5">
      <c r="B10" s="35" t="s">
        <v>290</v>
      </c>
      <c r="C10" s="4"/>
      <c r="D10" s="4"/>
      <c r="E10" s="35" t="s">
        <v>315</v>
      </c>
    </row>
    <row r="11" spans="2:5">
      <c r="B11" s="35" t="s">
        <v>786</v>
      </c>
      <c r="C11" s="4"/>
      <c r="D11" s="4"/>
      <c r="E11" s="35" t="s">
        <v>787</v>
      </c>
    </row>
    <row r="12" spans="2:5">
      <c r="B12" s="35" t="s">
        <v>789</v>
      </c>
      <c r="C12" s="4"/>
      <c r="D12" s="4"/>
      <c r="E12" s="35" t="s">
        <v>790</v>
      </c>
    </row>
    <row r="13" customFormat="1" spans="2:5">
      <c r="B13" s="35" t="s">
        <v>793</v>
      </c>
      <c r="C13" s="4"/>
      <c r="D13" s="4"/>
      <c r="E13" s="35" t="s">
        <v>794</v>
      </c>
    </row>
    <row r="14" spans="2:5">
      <c r="B14" s="35" t="s">
        <v>797</v>
      </c>
      <c r="C14" s="4"/>
      <c r="D14" s="4"/>
      <c r="E14" s="35" t="s">
        <v>798</v>
      </c>
    </row>
    <row r="15" spans="2:5">
      <c r="B15" s="35" t="s">
        <v>922</v>
      </c>
      <c r="C15" s="4"/>
      <c r="D15" s="4"/>
      <c r="E15" s="35" t="s">
        <v>923</v>
      </c>
    </row>
  </sheetData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35"/>
  <sheetViews>
    <sheetView workbookViewId="0">
      <selection activeCell="A1" sqref="A1"/>
    </sheetView>
  </sheetViews>
  <sheetFormatPr defaultColWidth="8.88888888888889" defaultRowHeight="18.75"/>
  <cols>
    <col min="1" max="1" width="3.77777777777778" customWidth="1"/>
    <col min="2" max="2" width="8.77777777777778" customWidth="1"/>
    <col min="3" max="3" width="7.88888888888889" customWidth="1"/>
    <col min="4" max="4" width="5.55555555555556" customWidth="1"/>
    <col min="5" max="5" width="8.44444444444444" customWidth="1"/>
    <col min="6" max="6" width="13.3333333333333" customWidth="1"/>
    <col min="7" max="7" width="11.3333333333333" customWidth="1"/>
    <col min="8" max="8" width="3.77777777777778" customWidth="1"/>
    <col min="9" max="9" width="9.22222222222222" customWidth="1"/>
    <col min="10" max="11" width="13" customWidth="1"/>
    <col min="12" max="12" width="3.77777777777778" customWidth="1"/>
    <col min="14" max="14" width="13.4444444444444" customWidth="1"/>
    <col min="15" max="15" width="8.88888888888889" style="10"/>
    <col min="16" max="16" width="3.77777777777778" customWidth="1"/>
    <col min="17" max="17" width="8.11111111111111" customWidth="1"/>
    <col min="18" max="18" width="4.77777777777778" customWidth="1"/>
    <col min="19" max="19" width="7.88888888888889" customWidth="1"/>
    <col min="20" max="20" width="3.77777777777778" customWidth="1"/>
    <col min="21" max="21" width="8.33333333333333" customWidth="1"/>
    <col min="22" max="22" width="4.77777777777778" customWidth="1"/>
    <col min="23" max="23" width="7.88888888888889" customWidth="1"/>
    <col min="24" max="28" width="6.22222222222222" customWidth="1"/>
    <col min="29" max="29" width="3.77777777777778" customWidth="1"/>
    <col min="30" max="30" width="8.33333333333333" customWidth="1"/>
    <col min="31" max="31" width="4.77777777777778" customWidth="1"/>
    <col min="32" max="32" width="7.88888888888889" customWidth="1"/>
    <col min="33" max="37" width="6.22222222222222" customWidth="1"/>
  </cols>
  <sheetData>
    <row r="1" spans="2:37">
      <c r="B1" t="s">
        <v>29</v>
      </c>
      <c r="H1" t="s">
        <v>924</v>
      </c>
      <c r="I1" t="s">
        <v>925</v>
      </c>
      <c r="L1" t="s">
        <v>924</v>
      </c>
      <c r="M1" t="s">
        <v>926</v>
      </c>
      <c r="Q1" t="s">
        <v>927</v>
      </c>
      <c r="T1" t="s">
        <v>924</v>
      </c>
      <c r="U1" t="s">
        <v>928</v>
      </c>
      <c r="AC1" t="s">
        <v>924</v>
      </c>
      <c r="AD1" t="s">
        <v>41</v>
      </c>
    </row>
    <row r="2" spans="2:37">
      <c r="I2" t="s">
        <v>27</v>
      </c>
      <c r="J2" t="s">
        <v>29</v>
      </c>
      <c r="K2" t="s">
        <v>29</v>
      </c>
      <c r="M2" t="s">
        <v>929</v>
      </c>
      <c r="N2" t="s">
        <v>930</v>
      </c>
    </row>
    <row r="3" ht="19.5" spans="2:37">
      <c r="B3" s="11" t="s">
        <v>61</v>
      </c>
      <c r="C3" s="11" t="s">
        <v>290</v>
      </c>
      <c r="D3" s="11" t="s">
        <v>291</v>
      </c>
      <c r="E3" s="11" t="s">
        <v>292</v>
      </c>
      <c r="F3" s="11" t="s">
        <v>293</v>
      </c>
      <c r="G3" t="s">
        <v>295</v>
      </c>
      <c r="I3" s="11" t="s">
        <v>61</v>
      </c>
      <c r="J3" s="11" t="s">
        <v>290</v>
      </c>
      <c r="K3" s="11" t="s">
        <v>291</v>
      </c>
      <c r="M3" s="11" t="s">
        <v>290</v>
      </c>
      <c r="N3" s="11" t="s">
        <v>931</v>
      </c>
      <c r="O3" s="12" t="s">
        <v>932</v>
      </c>
      <c r="Q3" s="13" t="s">
        <v>404</v>
      </c>
      <c r="R3" s="11" t="s">
        <v>777</v>
      </c>
      <c r="S3" s="11" t="s">
        <v>290</v>
      </c>
      <c r="U3" s="11" t="s">
        <v>404</v>
      </c>
      <c r="V3" s="11" t="s">
        <v>777</v>
      </c>
      <c r="W3" s="11" t="s">
        <v>290</v>
      </c>
      <c r="X3" s="11" t="s">
        <v>786</v>
      </c>
      <c r="Y3" s="11" t="s">
        <v>789</v>
      </c>
      <c r="Z3" s="11" t="s">
        <v>793</v>
      </c>
      <c r="AA3" s="11" t="s">
        <v>797</v>
      </c>
      <c r="AB3" s="11" t="s">
        <v>922</v>
      </c>
      <c r="AD3" s="11" t="s">
        <v>404</v>
      </c>
      <c r="AE3" s="11" t="s">
        <v>777</v>
      </c>
      <c r="AF3" s="11" t="s">
        <v>290</v>
      </c>
      <c r="AG3" s="11" t="s">
        <v>786</v>
      </c>
      <c r="AH3" s="11" t="s">
        <v>789</v>
      </c>
      <c r="AI3" s="11" t="s">
        <v>793</v>
      </c>
      <c r="AJ3" s="11" t="s">
        <v>797</v>
      </c>
      <c r="AK3" s="11" t="s">
        <v>922</v>
      </c>
    </row>
    <row r="4" ht="19.5" spans="2:37">
      <c r="B4" s="14" t="s">
        <v>103</v>
      </c>
      <c r="C4" s="15" t="s">
        <v>344</v>
      </c>
      <c r="D4" s="16">
        <v>2</v>
      </c>
      <c r="E4" s="16" t="s">
        <v>297</v>
      </c>
      <c r="F4" s="17">
        <v>-3</v>
      </c>
      <c r="G4" t="s">
        <v>345</v>
      </c>
      <c r="I4" s="18" t="s">
        <v>103</v>
      </c>
      <c r="J4" s="19" t="s">
        <v>344</v>
      </c>
      <c r="K4" s="20">
        <v>2</v>
      </c>
      <c r="M4" s="18" t="s">
        <v>344</v>
      </c>
      <c r="N4" s="15" t="s">
        <v>346</v>
      </c>
      <c r="O4" s="21" t="s">
        <v>884</v>
      </c>
      <c r="Q4" s="108" t="s">
        <v>418</v>
      </c>
      <c r="R4" s="19">
        <v>1</v>
      </c>
      <c r="S4" s="20" t="s">
        <v>344</v>
      </c>
      <c r="U4" s="109" t="s">
        <v>418</v>
      </c>
      <c r="V4" s="23"/>
      <c r="W4" s="23"/>
      <c r="X4" s="24" t="s">
        <v>344</v>
      </c>
      <c r="Y4" s="24" t="s">
        <v>346</v>
      </c>
      <c r="Z4" s="24" t="s">
        <v>352</v>
      </c>
      <c r="AA4" s="24" t="s">
        <v>354</v>
      </c>
      <c r="AB4" s="25">
        <v>1</v>
      </c>
      <c r="AD4" s="110" t="s">
        <v>418</v>
      </c>
      <c r="AE4" s="27"/>
      <c r="AF4" s="27"/>
      <c r="AG4" s="28" t="s">
        <v>344</v>
      </c>
      <c r="AH4" s="28" t="s">
        <v>346</v>
      </c>
      <c r="AI4" s="28" t="s">
        <v>352</v>
      </c>
      <c r="AJ4" s="28" t="s">
        <v>354</v>
      </c>
      <c r="AK4" s="29" t="s">
        <v>67</v>
      </c>
    </row>
    <row r="5" ht="19.5" spans="2:37">
      <c r="B5" s="30" t="s">
        <v>103</v>
      </c>
      <c r="C5" s="31" t="s">
        <v>346</v>
      </c>
      <c r="D5" s="32">
        <v>2</v>
      </c>
      <c r="E5" s="32" t="s">
        <v>297</v>
      </c>
      <c r="F5" s="33">
        <v>0</v>
      </c>
      <c r="G5" t="s">
        <v>347</v>
      </c>
      <c r="I5" s="34" t="s">
        <v>103</v>
      </c>
      <c r="J5" s="35" t="s">
        <v>346</v>
      </c>
      <c r="K5" s="36">
        <v>2</v>
      </c>
      <c r="M5" s="34" t="s">
        <v>346</v>
      </c>
      <c r="N5" s="31" t="s">
        <v>344</v>
      </c>
      <c r="O5" s="37" t="s">
        <v>884</v>
      </c>
      <c r="Q5" s="111" t="s">
        <v>418</v>
      </c>
      <c r="R5" s="35">
        <v>2</v>
      </c>
      <c r="S5" s="36" t="s">
        <v>346</v>
      </c>
      <c r="U5" s="112" t="s">
        <v>421</v>
      </c>
      <c r="V5" s="39"/>
      <c r="W5" s="39"/>
      <c r="X5" s="28" t="s">
        <v>360</v>
      </c>
      <c r="Y5" s="28" t="s">
        <v>362</v>
      </c>
      <c r="Z5" s="28" t="s">
        <v>368</v>
      </c>
      <c r="AA5" s="28" t="s">
        <v>370</v>
      </c>
      <c r="AB5" s="40">
        <v>1</v>
      </c>
      <c r="AD5" s="108" t="s">
        <v>418</v>
      </c>
      <c r="AE5" s="19">
        <v>1</v>
      </c>
      <c r="AF5" s="19" t="s">
        <v>344</v>
      </c>
      <c r="AG5" s="15" t="s">
        <v>824</v>
      </c>
      <c r="AH5" s="15" t="s">
        <v>884</v>
      </c>
      <c r="AI5" s="15" t="s">
        <v>885</v>
      </c>
      <c r="AJ5" s="15" t="s">
        <v>858</v>
      </c>
      <c r="AK5" s="21" t="s">
        <v>225</v>
      </c>
    </row>
    <row r="6" spans="2:37">
      <c r="B6" s="30" t="s">
        <v>109</v>
      </c>
      <c r="C6" s="31" t="s">
        <v>352</v>
      </c>
      <c r="D6" s="32">
        <v>5</v>
      </c>
      <c r="E6" s="32" t="s">
        <v>297</v>
      </c>
      <c r="F6" s="33">
        <v>0</v>
      </c>
      <c r="G6" t="s">
        <v>353</v>
      </c>
      <c r="I6" s="34" t="s">
        <v>109</v>
      </c>
      <c r="J6" s="35" t="s">
        <v>352</v>
      </c>
      <c r="K6" s="36">
        <v>5</v>
      </c>
      <c r="M6" s="34" t="s">
        <v>352</v>
      </c>
      <c r="N6" s="31" t="s">
        <v>354</v>
      </c>
      <c r="O6" s="37" t="s">
        <v>885</v>
      </c>
      <c r="Q6" s="111" t="s">
        <v>418</v>
      </c>
      <c r="R6" s="35">
        <v>3</v>
      </c>
      <c r="S6" s="36" t="s">
        <v>352</v>
      </c>
      <c r="AD6" s="111" t="s">
        <v>418</v>
      </c>
      <c r="AE6" s="35">
        <v>2</v>
      </c>
      <c r="AF6" s="35" t="s">
        <v>346</v>
      </c>
      <c r="AG6" s="31" t="s">
        <v>884</v>
      </c>
      <c r="AH6" s="31" t="s">
        <v>824</v>
      </c>
      <c r="AI6" s="31" t="s">
        <v>835</v>
      </c>
      <c r="AJ6" s="31" t="s">
        <v>886</v>
      </c>
      <c r="AK6" s="37" t="s">
        <v>225</v>
      </c>
    </row>
    <row r="7" ht="19.5" spans="2:37">
      <c r="B7" s="30" t="s">
        <v>109</v>
      </c>
      <c r="C7" s="31" t="s">
        <v>354</v>
      </c>
      <c r="D7" s="32">
        <v>1</v>
      </c>
      <c r="E7" s="32" t="s">
        <v>297</v>
      </c>
      <c r="F7" s="33">
        <v>-1</v>
      </c>
      <c r="G7" t="s">
        <v>355</v>
      </c>
      <c r="I7" s="34" t="s">
        <v>109</v>
      </c>
      <c r="J7" s="35" t="s">
        <v>354</v>
      </c>
      <c r="K7" s="36">
        <v>1</v>
      </c>
      <c r="M7" s="34" t="s">
        <v>354</v>
      </c>
      <c r="N7" s="31" t="s">
        <v>352</v>
      </c>
      <c r="O7" s="37" t="s">
        <v>888</v>
      </c>
      <c r="Q7" s="113" t="s">
        <v>418</v>
      </c>
      <c r="R7" s="42">
        <v>4</v>
      </c>
      <c r="S7" s="43" t="s">
        <v>354</v>
      </c>
      <c r="AD7" s="111" t="s">
        <v>418</v>
      </c>
      <c r="AE7" s="35">
        <v>3</v>
      </c>
      <c r="AF7" s="35" t="s">
        <v>352</v>
      </c>
      <c r="AG7" s="31" t="s">
        <v>888</v>
      </c>
      <c r="AH7" s="31" t="s">
        <v>835</v>
      </c>
      <c r="AI7" s="31" t="s">
        <v>824</v>
      </c>
      <c r="AJ7" s="31" t="s">
        <v>885</v>
      </c>
      <c r="AK7" s="37" t="s">
        <v>225</v>
      </c>
    </row>
    <row r="8" ht="19.5" spans="2:37">
      <c r="B8" s="30" t="s">
        <v>156</v>
      </c>
      <c r="C8" s="31" t="s">
        <v>344</v>
      </c>
      <c r="D8" s="32">
        <v>5</v>
      </c>
      <c r="E8" s="32" t="s">
        <v>297</v>
      </c>
      <c r="F8" s="33">
        <v>0</v>
      </c>
      <c r="G8" t="s">
        <v>345</v>
      </c>
      <c r="I8" s="34" t="s">
        <v>156</v>
      </c>
      <c r="J8" s="35" t="s">
        <v>344</v>
      </c>
      <c r="K8" s="36">
        <v>5</v>
      </c>
      <c r="M8" s="34" t="s">
        <v>344</v>
      </c>
      <c r="N8" s="31" t="s">
        <v>352</v>
      </c>
      <c r="O8" s="37" t="s">
        <v>885</v>
      </c>
      <c r="Q8" s="114" t="s">
        <v>421</v>
      </c>
      <c r="R8" s="9">
        <v>1</v>
      </c>
      <c r="S8" s="45" t="s">
        <v>360</v>
      </c>
      <c r="AD8" s="113" t="s">
        <v>418</v>
      </c>
      <c r="AE8" s="42">
        <v>4</v>
      </c>
      <c r="AF8" s="42" t="s">
        <v>354</v>
      </c>
      <c r="AG8" s="46" t="s">
        <v>862</v>
      </c>
      <c r="AH8" s="46" t="s">
        <v>890</v>
      </c>
      <c r="AI8" s="46" t="s">
        <v>888</v>
      </c>
      <c r="AJ8" s="46" t="s">
        <v>824</v>
      </c>
      <c r="AK8" s="47" t="s">
        <v>225</v>
      </c>
    </row>
    <row r="9" ht="19.5" spans="2:37">
      <c r="B9" s="30" t="s">
        <v>156</v>
      </c>
      <c r="C9" s="31" t="s">
        <v>352</v>
      </c>
      <c r="D9" s="32">
        <v>1</v>
      </c>
      <c r="E9" s="32" t="s">
        <v>297</v>
      </c>
      <c r="F9" s="33">
        <v>-3</v>
      </c>
      <c r="G9" t="s">
        <v>353</v>
      </c>
      <c r="I9" s="34" t="s">
        <v>156</v>
      </c>
      <c r="J9" s="35" t="s">
        <v>352</v>
      </c>
      <c r="K9" s="36">
        <v>1</v>
      </c>
      <c r="M9" s="34" t="s">
        <v>352</v>
      </c>
      <c r="N9" s="31" t="s">
        <v>344</v>
      </c>
      <c r="O9" s="37" t="s">
        <v>888</v>
      </c>
      <c r="Q9" s="111" t="s">
        <v>421</v>
      </c>
      <c r="R9" s="35">
        <v>2</v>
      </c>
      <c r="S9" s="36" t="s">
        <v>362</v>
      </c>
      <c r="AD9" s="110" t="s">
        <v>421</v>
      </c>
      <c r="AE9" s="27"/>
      <c r="AF9" s="27"/>
      <c r="AG9" s="28" t="s">
        <v>360</v>
      </c>
      <c r="AH9" s="28" t="s">
        <v>362</v>
      </c>
      <c r="AI9" s="28" t="s">
        <v>368</v>
      </c>
      <c r="AJ9" s="28" t="s">
        <v>370</v>
      </c>
      <c r="AK9" s="29" t="s">
        <v>67</v>
      </c>
    </row>
    <row r="10" spans="2:37">
      <c r="B10" s="30" t="s">
        <v>162</v>
      </c>
      <c r="C10" s="31" t="s">
        <v>354</v>
      </c>
      <c r="D10" s="32">
        <v>0</v>
      </c>
      <c r="E10" s="32" t="s">
        <v>297</v>
      </c>
      <c r="F10" s="33">
        <v>0</v>
      </c>
      <c r="G10" t="s">
        <v>355</v>
      </c>
      <c r="I10" s="34" t="s">
        <v>162</v>
      </c>
      <c r="J10" s="35" t="s">
        <v>354</v>
      </c>
      <c r="K10" s="36">
        <v>0</v>
      </c>
      <c r="M10" s="34" t="s">
        <v>354</v>
      </c>
      <c r="N10" s="31" t="s">
        <v>346</v>
      </c>
      <c r="O10" s="37" t="s">
        <v>890</v>
      </c>
      <c r="Q10" s="111" t="s">
        <v>421</v>
      </c>
      <c r="R10" s="35">
        <v>3</v>
      </c>
      <c r="S10" s="36" t="s">
        <v>368</v>
      </c>
      <c r="AD10" s="108" t="s">
        <v>421</v>
      </c>
      <c r="AE10" s="19">
        <v>1</v>
      </c>
      <c r="AF10" s="19" t="s">
        <v>360</v>
      </c>
      <c r="AG10" s="15" t="s">
        <v>824</v>
      </c>
      <c r="AH10" s="15" t="s">
        <v>835</v>
      </c>
      <c r="AI10" s="15" t="s">
        <v>873</v>
      </c>
      <c r="AJ10" s="15" t="s">
        <v>885</v>
      </c>
      <c r="AK10" s="21" t="s">
        <v>225</v>
      </c>
    </row>
    <row r="11" ht="19.5" spans="2:37">
      <c r="B11" s="30" t="s">
        <v>162</v>
      </c>
      <c r="C11" s="31" t="s">
        <v>346</v>
      </c>
      <c r="D11" s="32">
        <v>4</v>
      </c>
      <c r="E11" s="32" t="s">
        <v>297</v>
      </c>
      <c r="F11" s="33">
        <v>0</v>
      </c>
      <c r="G11" t="s">
        <v>347</v>
      </c>
      <c r="I11" s="34" t="s">
        <v>162</v>
      </c>
      <c r="J11" s="35" t="s">
        <v>346</v>
      </c>
      <c r="K11" s="36">
        <v>4</v>
      </c>
      <c r="M11" s="34" t="s">
        <v>346</v>
      </c>
      <c r="N11" s="31" t="s">
        <v>354</v>
      </c>
      <c r="O11" s="37" t="s">
        <v>886</v>
      </c>
      <c r="Q11" s="113" t="s">
        <v>421</v>
      </c>
      <c r="R11" s="42">
        <v>4</v>
      </c>
      <c r="S11" s="43" t="s">
        <v>370</v>
      </c>
      <c r="AD11" s="111" t="s">
        <v>421</v>
      </c>
      <c r="AE11" s="35">
        <v>2</v>
      </c>
      <c r="AF11" s="35" t="s">
        <v>362</v>
      </c>
      <c r="AG11" s="31" t="s">
        <v>835</v>
      </c>
      <c r="AH11" s="31" t="s">
        <v>824</v>
      </c>
      <c r="AI11" s="31" t="s">
        <v>835</v>
      </c>
      <c r="AJ11" s="31" t="s">
        <v>858</v>
      </c>
      <c r="AK11" s="37" t="s">
        <v>225</v>
      </c>
    </row>
    <row r="12" spans="2:37">
      <c r="B12" s="30" t="s">
        <v>200</v>
      </c>
      <c r="C12" s="31" t="s">
        <v>346</v>
      </c>
      <c r="D12" s="32">
        <v>1</v>
      </c>
      <c r="E12" s="32" t="s">
        <v>297</v>
      </c>
      <c r="F12" s="33">
        <v>-1</v>
      </c>
      <c r="G12" t="s">
        <v>347</v>
      </c>
      <c r="I12" s="34" t="s">
        <v>200</v>
      </c>
      <c r="J12" s="35" t="s">
        <v>346</v>
      </c>
      <c r="K12" s="36">
        <v>1</v>
      </c>
      <c r="M12" s="34" t="s">
        <v>346</v>
      </c>
      <c r="N12" s="31" t="s">
        <v>352</v>
      </c>
      <c r="O12" s="37" t="s">
        <v>835</v>
      </c>
      <c r="AD12" s="111" t="s">
        <v>421</v>
      </c>
      <c r="AE12" s="35">
        <v>3</v>
      </c>
      <c r="AF12" s="35" t="s">
        <v>368</v>
      </c>
      <c r="AG12" s="31" t="s">
        <v>873</v>
      </c>
      <c r="AH12" s="31" t="s">
        <v>835</v>
      </c>
      <c r="AI12" s="31" t="s">
        <v>824</v>
      </c>
      <c r="AJ12" s="31" t="s">
        <v>884</v>
      </c>
      <c r="AK12" s="37" t="s">
        <v>225</v>
      </c>
    </row>
    <row r="13" ht="19.5" spans="2:37">
      <c r="B13" s="30" t="s">
        <v>200</v>
      </c>
      <c r="C13" s="31" t="s">
        <v>352</v>
      </c>
      <c r="D13" s="32">
        <v>1</v>
      </c>
      <c r="E13" s="32" t="s">
        <v>297</v>
      </c>
      <c r="F13" s="33">
        <v>-2</v>
      </c>
      <c r="G13" t="s">
        <v>353</v>
      </c>
      <c r="I13" s="34" t="s">
        <v>200</v>
      </c>
      <c r="J13" s="35" t="s">
        <v>352</v>
      </c>
      <c r="K13" s="36">
        <v>1</v>
      </c>
      <c r="M13" s="34" t="s">
        <v>352</v>
      </c>
      <c r="N13" s="31" t="s">
        <v>346</v>
      </c>
      <c r="O13" s="37" t="s">
        <v>835</v>
      </c>
      <c r="AD13" s="113" t="s">
        <v>421</v>
      </c>
      <c r="AE13" s="42">
        <v>4</v>
      </c>
      <c r="AF13" s="42" t="s">
        <v>370</v>
      </c>
      <c r="AG13" s="46" t="s">
        <v>888</v>
      </c>
      <c r="AH13" s="46" t="s">
        <v>862</v>
      </c>
      <c r="AI13" s="46" t="s">
        <v>884</v>
      </c>
      <c r="AJ13" s="46" t="s">
        <v>824</v>
      </c>
      <c r="AK13" s="47" t="s">
        <v>225</v>
      </c>
    </row>
    <row r="14" spans="2:37">
      <c r="B14" s="30" t="s">
        <v>202</v>
      </c>
      <c r="C14" s="31" t="s">
        <v>354</v>
      </c>
      <c r="D14" s="32">
        <v>1</v>
      </c>
      <c r="E14" s="32" t="s">
        <v>297</v>
      </c>
      <c r="F14" s="33">
        <v>0</v>
      </c>
      <c r="G14" t="s">
        <v>355</v>
      </c>
      <c r="I14" s="34" t="s">
        <v>202</v>
      </c>
      <c r="J14" s="35" t="s">
        <v>354</v>
      </c>
      <c r="K14" s="36">
        <v>1</v>
      </c>
      <c r="M14" s="34" t="s">
        <v>354</v>
      </c>
      <c r="N14" s="31" t="s">
        <v>344</v>
      </c>
      <c r="O14" s="37" t="s">
        <v>862</v>
      </c>
    </row>
    <row r="15" ht="19.5" spans="2:37">
      <c r="B15" s="30" t="s">
        <v>202</v>
      </c>
      <c r="C15" s="31" t="s">
        <v>344</v>
      </c>
      <c r="D15" s="32">
        <v>3</v>
      </c>
      <c r="E15" s="32" t="s">
        <v>297</v>
      </c>
      <c r="F15" s="33">
        <v>0</v>
      </c>
      <c r="G15" t="s">
        <v>345</v>
      </c>
      <c r="I15" s="41" t="s">
        <v>202</v>
      </c>
      <c r="J15" s="42" t="s">
        <v>344</v>
      </c>
      <c r="K15" s="43">
        <v>3</v>
      </c>
      <c r="M15" s="41" t="s">
        <v>344</v>
      </c>
      <c r="N15" s="46" t="s">
        <v>354</v>
      </c>
      <c r="O15" s="47" t="s">
        <v>858</v>
      </c>
    </row>
    <row r="16" spans="2:37">
      <c r="B16" s="30" t="s">
        <v>227</v>
      </c>
      <c r="C16" s="31" t="s">
        <v>346</v>
      </c>
      <c r="D16" s="32">
        <v>1</v>
      </c>
      <c r="E16" s="32" t="s">
        <v>297</v>
      </c>
      <c r="F16" s="33">
        <v>-3</v>
      </c>
      <c r="G16" t="s">
        <v>347</v>
      </c>
      <c r="I16" s="44" t="s">
        <v>115</v>
      </c>
      <c r="J16" s="9" t="s">
        <v>360</v>
      </c>
      <c r="K16" s="45">
        <v>1</v>
      </c>
      <c r="M16" s="44" t="s">
        <v>360</v>
      </c>
      <c r="N16" s="48" t="s">
        <v>362</v>
      </c>
      <c r="O16" s="49" t="s">
        <v>835</v>
      </c>
    </row>
    <row r="17" spans="2:15">
      <c r="B17" s="30" t="s">
        <v>231</v>
      </c>
      <c r="C17" s="31" t="s">
        <v>344</v>
      </c>
      <c r="D17" s="32">
        <v>1</v>
      </c>
      <c r="E17" s="32">
        <v>2</v>
      </c>
      <c r="F17" s="33">
        <v>0</v>
      </c>
      <c r="G17" t="s">
        <v>345</v>
      </c>
      <c r="I17" s="34" t="s">
        <v>115</v>
      </c>
      <c r="J17" s="35" t="s">
        <v>362</v>
      </c>
      <c r="K17" s="36">
        <v>1</v>
      </c>
      <c r="M17" s="34" t="s">
        <v>362</v>
      </c>
      <c r="N17" s="31" t="s">
        <v>360</v>
      </c>
      <c r="O17" s="37" t="s">
        <v>835</v>
      </c>
    </row>
    <row r="18" ht="19.5" spans="2:15">
      <c r="B18" s="50" t="s">
        <v>235</v>
      </c>
      <c r="C18" s="51" t="s">
        <v>352</v>
      </c>
      <c r="D18" s="52">
        <v>0</v>
      </c>
      <c r="E18" s="52" t="s">
        <v>297</v>
      </c>
      <c r="F18" s="53">
        <v>0</v>
      </c>
      <c r="G18" t="s">
        <v>353</v>
      </c>
      <c r="I18" s="34" t="s">
        <v>121</v>
      </c>
      <c r="J18" s="35" t="s">
        <v>368</v>
      </c>
      <c r="K18" s="36">
        <v>2</v>
      </c>
      <c r="M18" s="34" t="s">
        <v>368</v>
      </c>
      <c r="N18" s="31" t="s">
        <v>370</v>
      </c>
      <c r="O18" s="37" t="s">
        <v>884</v>
      </c>
    </row>
    <row r="19" spans="2:15">
      <c r="B19" s="18" t="s">
        <v>115</v>
      </c>
      <c r="C19" s="19" t="s">
        <v>360</v>
      </c>
      <c r="D19" s="19">
        <v>1</v>
      </c>
      <c r="E19" s="19" t="s">
        <v>297</v>
      </c>
      <c r="F19" s="20">
        <v>-2</v>
      </c>
      <c r="G19" t="s">
        <v>361</v>
      </c>
      <c r="I19" s="34" t="s">
        <v>121</v>
      </c>
      <c r="J19" s="35" t="s">
        <v>370</v>
      </c>
      <c r="K19" s="36">
        <v>2</v>
      </c>
      <c r="M19" s="34" t="s">
        <v>370</v>
      </c>
      <c r="N19" s="31" t="s">
        <v>368</v>
      </c>
      <c r="O19" s="37" t="s">
        <v>884</v>
      </c>
    </row>
    <row r="20" spans="2:15">
      <c r="B20" s="34" t="s">
        <v>115</v>
      </c>
      <c r="C20" s="35" t="s">
        <v>362</v>
      </c>
      <c r="D20" s="35">
        <v>1</v>
      </c>
      <c r="E20" s="35" t="s">
        <v>297</v>
      </c>
      <c r="F20" s="36">
        <v>-2</v>
      </c>
      <c r="G20" t="s">
        <v>363</v>
      </c>
      <c r="I20" s="34" t="s">
        <v>166</v>
      </c>
      <c r="J20" s="35" t="s">
        <v>360</v>
      </c>
      <c r="K20" s="36">
        <v>0</v>
      </c>
      <c r="M20" s="34" t="s">
        <v>360</v>
      </c>
      <c r="N20" s="31" t="s">
        <v>368</v>
      </c>
      <c r="O20" s="37" t="s">
        <v>873</v>
      </c>
    </row>
    <row r="21" spans="2:15">
      <c r="B21" s="34" t="s">
        <v>121</v>
      </c>
      <c r="C21" s="35" t="s">
        <v>368</v>
      </c>
      <c r="D21" s="35">
        <v>2</v>
      </c>
      <c r="E21" s="35" t="s">
        <v>297</v>
      </c>
      <c r="F21" s="36">
        <v>-1</v>
      </c>
      <c r="G21" t="s">
        <v>369</v>
      </c>
      <c r="I21" s="34" t="s">
        <v>166</v>
      </c>
      <c r="J21" s="35" t="s">
        <v>368</v>
      </c>
      <c r="K21" s="36">
        <v>0</v>
      </c>
      <c r="M21" s="34" t="s">
        <v>368</v>
      </c>
      <c r="N21" s="31" t="s">
        <v>360</v>
      </c>
      <c r="O21" s="37" t="s">
        <v>873</v>
      </c>
    </row>
    <row r="22" spans="2:15">
      <c r="B22" s="34" t="s">
        <v>121</v>
      </c>
      <c r="C22" s="35" t="s">
        <v>370</v>
      </c>
      <c r="D22" s="35">
        <v>2</v>
      </c>
      <c r="E22" s="35" t="s">
        <v>297</v>
      </c>
      <c r="F22" s="36">
        <v>0</v>
      </c>
      <c r="G22" t="s">
        <v>371</v>
      </c>
      <c r="I22" s="34" t="s">
        <v>170</v>
      </c>
      <c r="J22" s="35" t="s">
        <v>370</v>
      </c>
      <c r="K22" s="36">
        <v>1</v>
      </c>
      <c r="M22" s="34" t="s">
        <v>370</v>
      </c>
      <c r="N22" s="31" t="s">
        <v>362</v>
      </c>
      <c r="O22" s="37" t="s">
        <v>862</v>
      </c>
    </row>
    <row r="23" spans="2:15">
      <c r="B23" s="34" t="s">
        <v>166</v>
      </c>
      <c r="C23" s="35" t="s">
        <v>360</v>
      </c>
      <c r="D23" s="35">
        <v>0</v>
      </c>
      <c r="E23" s="35" t="s">
        <v>297</v>
      </c>
      <c r="F23" s="36">
        <v>-5</v>
      </c>
      <c r="G23" t="s">
        <v>361</v>
      </c>
      <c r="I23" s="34" t="s">
        <v>170</v>
      </c>
      <c r="J23" s="35" t="s">
        <v>362</v>
      </c>
      <c r="K23" s="36">
        <v>3</v>
      </c>
      <c r="M23" s="34" t="s">
        <v>362</v>
      </c>
      <c r="N23" s="31" t="s">
        <v>370</v>
      </c>
      <c r="O23" s="37" t="s">
        <v>858</v>
      </c>
    </row>
    <row r="24" spans="2:15">
      <c r="B24" s="34" t="s">
        <v>166</v>
      </c>
      <c r="C24" s="35" t="s">
        <v>368</v>
      </c>
      <c r="D24" s="35">
        <v>0</v>
      </c>
      <c r="E24" s="35" t="s">
        <v>297</v>
      </c>
      <c r="F24" s="36">
        <v>-1</v>
      </c>
      <c r="G24" t="s">
        <v>369</v>
      </c>
      <c r="I24" s="34" t="s">
        <v>212</v>
      </c>
      <c r="J24" s="35" t="s">
        <v>362</v>
      </c>
      <c r="K24" s="36">
        <v>1</v>
      </c>
      <c r="M24" s="34" t="s">
        <v>362</v>
      </c>
      <c r="N24" s="31" t="s">
        <v>368</v>
      </c>
      <c r="O24" s="37" t="s">
        <v>835</v>
      </c>
    </row>
    <row r="25" spans="2:15">
      <c r="B25" s="34" t="s">
        <v>170</v>
      </c>
      <c r="C25" s="35" t="s">
        <v>370</v>
      </c>
      <c r="D25" s="35">
        <v>1</v>
      </c>
      <c r="E25" s="35" t="s">
        <v>297</v>
      </c>
      <c r="F25" s="36">
        <v>-2</v>
      </c>
      <c r="G25" t="s">
        <v>371</v>
      </c>
      <c r="I25" s="34" t="s">
        <v>212</v>
      </c>
      <c r="J25" s="35" t="s">
        <v>368</v>
      </c>
      <c r="K25" s="36">
        <v>1</v>
      </c>
      <c r="M25" s="34" t="s">
        <v>368</v>
      </c>
      <c r="N25" s="31" t="s">
        <v>362</v>
      </c>
      <c r="O25" s="37" t="s">
        <v>835</v>
      </c>
    </row>
    <row r="26" spans="2:15">
      <c r="B26" s="34" t="s">
        <v>170</v>
      </c>
      <c r="C26" s="35" t="s">
        <v>362</v>
      </c>
      <c r="D26" s="35">
        <v>3</v>
      </c>
      <c r="E26" s="35" t="s">
        <v>297</v>
      </c>
      <c r="F26" s="36">
        <v>-1</v>
      </c>
      <c r="G26" t="s">
        <v>363</v>
      </c>
      <c r="I26" s="34" t="s">
        <v>214</v>
      </c>
      <c r="J26" s="35" t="s">
        <v>370</v>
      </c>
      <c r="K26" s="36">
        <v>1</v>
      </c>
      <c r="M26" s="34" t="s">
        <v>370</v>
      </c>
      <c r="N26" s="31" t="s">
        <v>360</v>
      </c>
      <c r="O26" s="37" t="s">
        <v>888</v>
      </c>
    </row>
    <row r="27" ht="19.5" spans="2:15">
      <c r="B27" s="34" t="s">
        <v>212</v>
      </c>
      <c r="C27" s="35" t="s">
        <v>362</v>
      </c>
      <c r="D27" s="35">
        <v>1</v>
      </c>
      <c r="E27" s="35" t="s">
        <v>297</v>
      </c>
      <c r="F27" s="36">
        <v>-3</v>
      </c>
      <c r="G27" t="s">
        <v>363</v>
      </c>
      <c r="I27" s="41" t="s">
        <v>214</v>
      </c>
      <c r="J27" s="42" t="s">
        <v>360</v>
      </c>
      <c r="K27" s="43">
        <v>5</v>
      </c>
      <c r="M27" s="41" t="s">
        <v>360</v>
      </c>
      <c r="N27" s="46" t="s">
        <v>370</v>
      </c>
      <c r="O27" s="47" t="s">
        <v>885</v>
      </c>
    </row>
    <row r="28" spans="2:15">
      <c r="B28" s="34" t="s">
        <v>212</v>
      </c>
      <c r="C28" s="35" t="s">
        <v>368</v>
      </c>
      <c r="D28" s="35">
        <v>1</v>
      </c>
      <c r="E28" s="35" t="s">
        <v>297</v>
      </c>
      <c r="F28" s="36">
        <v>-4</v>
      </c>
      <c r="G28" t="s">
        <v>369</v>
      </c>
    </row>
    <row r="29" spans="2:15">
      <c r="B29" s="34" t="s">
        <v>214</v>
      </c>
      <c r="C29" s="35" t="s">
        <v>370</v>
      </c>
      <c r="D29" s="35">
        <v>1</v>
      </c>
      <c r="E29" s="35" t="s">
        <v>297</v>
      </c>
      <c r="F29" s="36">
        <v>-2</v>
      </c>
      <c r="G29" t="s">
        <v>371</v>
      </c>
    </row>
    <row r="30" spans="2:15">
      <c r="B30" s="34" t="s">
        <v>214</v>
      </c>
      <c r="C30" s="35" t="s">
        <v>360</v>
      </c>
      <c r="D30" s="35">
        <v>5</v>
      </c>
      <c r="E30" s="35" t="s">
        <v>297</v>
      </c>
      <c r="F30" s="36">
        <v>0</v>
      </c>
      <c r="G30" t="s">
        <v>361</v>
      </c>
    </row>
    <row r="31" spans="2:15">
      <c r="B31" s="34" t="s">
        <v>241</v>
      </c>
      <c r="C31" s="35" t="s">
        <v>360</v>
      </c>
      <c r="D31" s="35">
        <v>3</v>
      </c>
      <c r="E31" s="35" t="s">
        <v>297</v>
      </c>
      <c r="F31" s="36">
        <v>-2</v>
      </c>
      <c r="G31" t="s">
        <v>361</v>
      </c>
    </row>
    <row r="32" spans="2:15">
      <c r="B32" s="34" t="s">
        <v>251</v>
      </c>
      <c r="C32" s="35" t="s">
        <v>362</v>
      </c>
      <c r="D32" s="35">
        <v>1</v>
      </c>
      <c r="E32" s="35">
        <v>4</v>
      </c>
      <c r="F32" s="36">
        <v>-3</v>
      </c>
      <c r="G32" t="s">
        <v>363</v>
      </c>
    </row>
    <row r="33" spans="2:7">
      <c r="B33" s="34" t="s">
        <v>267</v>
      </c>
      <c r="C33" s="35" t="s">
        <v>360</v>
      </c>
      <c r="D33" s="35">
        <v>4</v>
      </c>
      <c r="E33" s="35" t="s">
        <v>297</v>
      </c>
      <c r="F33" s="36">
        <v>0</v>
      </c>
      <c r="G33" t="s">
        <v>361</v>
      </c>
    </row>
    <row r="34" spans="2:7">
      <c r="B34" s="34" t="s">
        <v>269</v>
      </c>
      <c r="C34" s="35" t="s">
        <v>362</v>
      </c>
      <c r="D34" s="35">
        <v>2</v>
      </c>
      <c r="E34" s="35" t="s">
        <v>297</v>
      </c>
      <c r="F34" s="36">
        <v>-9</v>
      </c>
      <c r="G34" t="s">
        <v>363</v>
      </c>
    </row>
    <row r="35" ht="19.5" spans="2:7">
      <c r="B35" s="41" t="s">
        <v>275</v>
      </c>
      <c r="C35" s="42" t="s">
        <v>360</v>
      </c>
      <c r="D35" s="42">
        <v>1</v>
      </c>
      <c r="E35" s="42" t="s">
        <v>297</v>
      </c>
      <c r="F35" s="43">
        <v>-2</v>
      </c>
      <c r="G35" t="s">
        <v>361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46</v>
      </c>
      <c r="C2" s="1"/>
      <c r="D2" s="1"/>
      <c r="E2" s="2" t="s">
        <v>47</v>
      </c>
    </row>
    <row r="3" spans="2:5">
      <c r="B3" s="3" t="s">
        <v>40</v>
      </c>
      <c r="C3" s="3"/>
      <c r="D3" s="3"/>
      <c r="E3" s="4" t="s">
        <v>56</v>
      </c>
    </row>
    <row r="4" spans="2:5">
      <c r="B4" s="1" t="s">
        <v>48</v>
      </c>
      <c r="C4" s="1"/>
      <c r="D4" s="1"/>
      <c r="E4" s="1"/>
    </row>
    <row r="5" spans="2:5">
      <c r="B5" s="3" t="s">
        <v>60</v>
      </c>
      <c r="C5" s="3"/>
      <c r="D5" s="3"/>
      <c r="E5" s="3"/>
    </row>
    <row r="7" spans="2:5">
      <c r="B7" s="5" t="s">
        <v>79</v>
      </c>
      <c r="C7" s="5" t="s">
        <v>80</v>
      </c>
      <c r="D7" s="5" t="s">
        <v>771</v>
      </c>
      <c r="E7" s="5" t="s">
        <v>48</v>
      </c>
    </row>
    <row r="8" spans="2:5">
      <c r="B8" s="6" t="s">
        <v>933</v>
      </c>
      <c r="C8" s="7"/>
      <c r="D8" s="7"/>
      <c r="E8" s="6" t="s">
        <v>934</v>
      </c>
    </row>
    <row r="9" spans="2:5">
      <c r="B9" s="8"/>
      <c r="C9" s="8"/>
      <c r="D9" s="8"/>
      <c r="E9" s="8" t="s">
        <v>935</v>
      </c>
    </row>
    <row r="10" spans="2:5">
      <c r="B10" s="8"/>
      <c r="C10" s="8"/>
      <c r="D10" s="8"/>
      <c r="E10" s="8" t="s">
        <v>936</v>
      </c>
    </row>
    <row r="11" spans="2:5">
      <c r="B11" s="9"/>
      <c r="C11" s="9"/>
      <c r="D11" s="9"/>
      <c r="E11" s="9" t="s">
        <v>937</v>
      </c>
    </row>
    <row r="12" spans="2:5">
      <c r="B12" s="6" t="s">
        <v>938</v>
      </c>
      <c r="C12" s="7"/>
      <c r="D12" s="7"/>
      <c r="E12" s="6" t="s">
        <v>939</v>
      </c>
    </row>
    <row r="13" spans="2:5">
      <c r="B13" s="9"/>
      <c r="C13" s="9"/>
      <c r="D13" s="9"/>
      <c r="E13" s="9" t="s">
        <v>940</v>
      </c>
    </row>
    <row r="14" spans="2:5">
      <c r="B14" s="6" t="s">
        <v>941</v>
      </c>
      <c r="C14" s="7"/>
      <c r="D14" s="7"/>
      <c r="E14" s="6" t="s">
        <v>942</v>
      </c>
    </row>
    <row r="15" spans="2:5">
      <c r="B15" s="8"/>
      <c r="C15" s="8"/>
      <c r="D15" s="8"/>
      <c r="E15" s="8" t="s">
        <v>943</v>
      </c>
    </row>
    <row r="16" spans="2:5">
      <c r="B16" s="9"/>
      <c r="C16" s="9"/>
      <c r="D16" s="9"/>
      <c r="E16" s="9" t="s">
        <v>944</v>
      </c>
    </row>
  </sheetData>
  <pageMargins left="0.75" right="0.75" top="1" bottom="1" header="0.5" footer="0.5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2" sqref="B2"/>
    </sheetView>
  </sheetViews>
  <sheetFormatPr defaultColWidth="8.88888888888889" defaultRowHeight="18.7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SQLite</vt:lpstr>
      <vt:lpstr>コマンド集</vt:lpstr>
      <vt:lpstr>テーブル一覧</vt:lpstr>
      <vt:lpstr>MATCHES</vt:lpstr>
      <vt:lpstr>MATCH_TEAM</vt:lpstr>
      <vt:lpstr>GROUPSTAGE</vt:lpstr>
      <vt:lpstr>TEAM</vt:lpstr>
      <vt:lpstr>FIFARANK</vt:lpstr>
      <vt:lpstr>GROUP_RANK</vt:lpstr>
      <vt:lpstr>GROUP_RANK_抽出</vt:lpstr>
      <vt:lpstr>GROUP_RANK0</vt:lpstr>
      <vt:lpstr>GROUP_RANK1</vt:lpstr>
      <vt:lpstr>GROUP_RANK2</vt:lpstr>
      <vt:lpstr>GROUP_RANK3</vt:lpstr>
      <vt:lpstr>EIGHT_OF_THIRD</vt:lpstr>
      <vt:lpstr>SCORE_SHEET</vt:lpstr>
      <vt:lpstr>SCORE_SHEET_処理イメージ</vt:lpstr>
      <vt:lpstr>RESULTS_STATS</vt:lpstr>
      <vt:lpstr>RESULTS_STATS_抽出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naked</cp:lastModifiedBy>
  <dcterms:created xsi:type="dcterms:W3CDTF">2026-06-19T07:26:00Z</dcterms:created>
  <dcterms:modified xsi:type="dcterms:W3CDTF">2026-07-18T20:24:37Z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1041-12.1.0.26880</vt:lpwstr>
  </property>
  <property fmtid="{D5CDD505-2E9C-101B-9397-08002B2CF9AE}" pid="4" name="CalculationRule">
    <vt:i4>0</vt:i4>
  </property>
</Properties>
</file>