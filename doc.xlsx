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 firstSheet="3" activeTab="1"/>
  </bookViews>
  <sheets>
    <sheet name="SQLite" sheetId="3" r:id="rId1"/>
    <sheet name="コマンド集" sheetId="1" r:id="rId2"/>
    <sheet name="テーブル一覧" sheetId="2" r:id="rId3"/>
    <sheet name="MATCH" sheetId="4" r:id="rId4"/>
    <sheet name="MATCH_TEAM" sheetId="6" r:id="rId5"/>
    <sheet name="GROUP" sheetId="7" r:id="rId6"/>
    <sheet name="TEAM" sheetId="8" r:id="rId7"/>
    <sheet name="FIFARANK" sheetId="11" r:id="rId8"/>
    <sheet name="SCORE_SHEET" sheetId="9" r:id="rId9"/>
    <sheet name="RESULTS_STAT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<sst xmlns="http://schemas.openxmlformats.org/spreadsheetml/2006/main" count="1158" uniqueCount="665">
  <si>
    <t>DB名</t>
  </si>
  <si>
    <t>worldcup</t>
  </si>
  <si>
    <t>テーブル名は大文字</t>
  </si>
  <si>
    <t>カラム名は小文字とする</t>
  </si>
  <si>
    <t>カラムの型はSQLiteにおいてあんまり意味ないので設定しない</t>
  </si>
  <si>
    <t>DB接続</t>
  </si>
  <si>
    <t>cd C:\Program Files\sqlite</t>
  </si>
  <si>
    <t>sqlite3 worldcup.sqlite3</t>
  </si>
  <si>
    <t>コマンドプロンプトで実行する（PowerShellだとダメ）</t>
  </si>
  <si>
    <t>空き領域の解放</t>
  </si>
  <si>
    <t>VACUUM;</t>
  </si>
  <si>
    <t>テーブルの一覧を表示</t>
  </si>
  <si>
    <t>.table</t>
  </si>
  <si>
    <t>テーブルの定義を表示</t>
  </si>
  <si>
    <t>.schema テーブル名</t>
  </si>
  <si>
    <t>設定を確認</t>
  </si>
  <si>
    <t>.show</t>
  </si>
  <si>
    <t>SQLファイルを実行</t>
  </si>
  <si>
    <t>.read FILENAME</t>
  </si>
  <si>
    <t>テーブル作成</t>
  </si>
  <si>
    <t>.read C:\Users\naked\OneDrive\Documents\GitHub\worldcup\TABLE\MATCHES.sql</t>
  </si>
  <si>
    <t>.read C:\Users\naked\OneDrive\Documents\GitHub\worldcup\TABLE\MATCH_TEAM.sql</t>
  </si>
  <si>
    <t>.read C:\Users\naked\OneDrive\Documents\GitHub\worldcup\TABLE\GROUPSTAGE.sql</t>
  </si>
  <si>
    <t>.read C:\Users\naked\OneDrive\Documents\GitHub\worldcup\TABLE\TEAM.sql</t>
  </si>
  <si>
    <t>.read C:\Users\naked\OneDrive\Documents\GitHub\worldcup\TABLE\FIFARANK.sql</t>
  </si>
  <si>
    <t>.read C:\Users\naked\OneDrive\Documents\GitHub\worldcup\TABLE\SCORE_SHEET.sql</t>
  </si>
  <si>
    <t>.read C:\Users\naked\OneDrive\Documents\GitHub\worldcup\TABLE\RESULTS_STATS.sql</t>
  </si>
  <si>
    <t>DB内のオブジェクトの一覧</t>
  </si>
  <si>
    <t>テーブルだけでなくビューも管理する</t>
  </si>
  <si>
    <t>あればトリガーもここで管理する</t>
  </si>
  <si>
    <t>インデックスなど1つのテーブルに依存するものはテーブル定義で管理する</t>
  </si>
  <si>
    <t>オブジェクト名</t>
  </si>
  <si>
    <t>種別</t>
  </si>
  <si>
    <t>説明</t>
  </si>
  <si>
    <t>MATCHES</t>
  </si>
  <si>
    <t>トラン</t>
  </si>
  <si>
    <t>試合</t>
  </si>
  <si>
    <t>MATCH_TEAM</t>
  </si>
  <si>
    <t>試合に参加したチーム</t>
  </si>
  <si>
    <t>GROUPSTAGE</t>
  </si>
  <si>
    <t>マスタ</t>
  </si>
  <si>
    <t>グループのマスタ</t>
  </si>
  <si>
    <t>TEAM</t>
  </si>
  <si>
    <t>チームのマスタ</t>
  </si>
  <si>
    <t>FIFARANK</t>
  </si>
  <si>
    <t>FIFAランク</t>
  </si>
  <si>
    <t>SCORE_SHEET</t>
  </si>
  <si>
    <t>ビュー</t>
  </si>
  <si>
    <t>星取表</t>
  </si>
  <si>
    <t>RESULTS_STATS</t>
  </si>
  <si>
    <t>点差ごとの試合結果の統計</t>
  </si>
  <si>
    <t>TEXT</t>
  </si>
  <si>
    <t>match_id</t>
  </si>
  <si>
    <t>match_date</t>
  </si>
  <si>
    <t>venue</t>
  </si>
  <si>
    <t>001</t>
  </si>
  <si>
    <t>202606120400</t>
  </si>
  <si>
    <t>メキシコシティ</t>
  </si>
  <si>
    <t>002</t>
  </si>
  <si>
    <t>20260612</t>
  </si>
  <si>
    <t>グアダラハラ</t>
  </si>
  <si>
    <t>003</t>
  </si>
  <si>
    <t>20260613</t>
  </si>
  <si>
    <t>トロント</t>
  </si>
  <si>
    <t>004</t>
  </si>
  <si>
    <t>ロサンゼルス</t>
  </si>
  <si>
    <t>カラム名</t>
  </si>
  <si>
    <t>PK</t>
  </si>
  <si>
    <t>IDX</t>
  </si>
  <si>
    <t>005</t>
  </si>
  <si>
    <t>20260614</t>
  </si>
  <si>
    <t>サンフランシスコ・ベイエリア</t>
  </si>
  <si>
    <t>○</t>
  </si>
  <si>
    <t>試合のキー</t>
  </si>
  <si>
    <t>006</t>
  </si>
  <si>
    <t>ニュー・ジャージー</t>
  </si>
  <si>
    <t>試合が行われた日時（日本時間）YYYYMMDDhhmm</t>
  </si>
  <si>
    <t>007</t>
  </si>
  <si>
    <t>ボストン</t>
  </si>
  <si>
    <t>試合が行われた会場</t>
  </si>
  <si>
    <t>008</t>
  </si>
  <si>
    <t>バンクーバー</t>
  </si>
  <si>
    <t>009</t>
  </si>
  <si>
    <t>20260615</t>
  </si>
  <si>
    <t>ヒューストン</t>
  </si>
  <si>
    <t>010</t>
  </si>
  <si>
    <t>202606150500</t>
  </si>
  <si>
    <t>ダラス</t>
  </si>
  <si>
    <t>011</t>
  </si>
  <si>
    <t>フィラデルフィア</t>
  </si>
  <si>
    <t>012</t>
  </si>
  <si>
    <t>202606151100</t>
  </si>
  <si>
    <t>モンテレイ</t>
  </si>
  <si>
    <t>013</t>
  </si>
  <si>
    <t>20260616</t>
  </si>
  <si>
    <t>アトランタ</t>
  </si>
  <si>
    <t>014</t>
  </si>
  <si>
    <t>シアトル</t>
  </si>
  <si>
    <t>015</t>
  </si>
  <si>
    <t>マイアミ</t>
  </si>
  <si>
    <t>016</t>
  </si>
  <si>
    <t>017</t>
  </si>
  <si>
    <t>20260617</t>
  </si>
  <si>
    <t>018</t>
  </si>
  <si>
    <t>019</t>
  </si>
  <si>
    <t>カンザスシティ</t>
  </si>
  <si>
    <t>020</t>
  </si>
  <si>
    <t>021</t>
  </si>
  <si>
    <t>20260618</t>
  </si>
  <si>
    <t>);</t>
  </si>
  <si>
    <t>022</t>
  </si>
  <si>
    <t>023</t>
  </si>
  <si>
    <t>024</t>
  </si>
  <si>
    <t>025</t>
  </si>
  <si>
    <t>20260619</t>
  </si>
  <si>
    <t>026</t>
  </si>
  <si>
    <t>027</t>
  </si>
  <si>
    <t>028</t>
  </si>
  <si>
    <t>029</t>
  </si>
  <si>
    <t>20260620</t>
  </si>
  <si>
    <t>030</t>
  </si>
  <si>
    <t>031</t>
  </si>
  <si>
    <t>032</t>
  </si>
  <si>
    <t>033</t>
  </si>
  <si>
    <t>202606210200</t>
  </si>
  <si>
    <t>034</t>
  </si>
  <si>
    <t>20260621</t>
  </si>
  <si>
    <t>035</t>
  </si>
  <si>
    <t>036</t>
  </si>
  <si>
    <t>202606211300</t>
  </si>
  <si>
    <t>037</t>
  </si>
  <si>
    <t>20260622</t>
  </si>
  <si>
    <t>038</t>
  </si>
  <si>
    <t>039</t>
  </si>
  <si>
    <t>040</t>
  </si>
  <si>
    <t>041</t>
  </si>
  <si>
    <t>20260623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</si>
  <si>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</si>
  <si>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</si>
  <si>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</si>
  <si>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</si>
  <si>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</si>
  <si>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</si>
  <si>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</si>
  <si>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</si>
  <si>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</si>
  <si>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</si>
  <si>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</si>
  <si>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</si>
  <si>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</si>
  <si>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</si>
  <si>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</si>
  <si>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</si>
  <si>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</si>
  <si>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</si>
  <si>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</si>
  <si>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</si>
  <si>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</si>
  <si>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</si>
  <si>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</si>
  <si>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</si>
  <si>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</si>
  <si>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</si>
  <si>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</si>
  <si>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</si>
  <si>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</si>
  <si>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</si>
  <si>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</si>
  <si>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;</t>
  </si>
  <si>
    <t>INT</t>
  </si>
  <si>
    <t>team_id</t>
  </si>
  <si>
    <t>score</t>
  </si>
  <si>
    <t>conduct_score</t>
  </si>
  <si>
    <t>規律ポイント</t>
  </si>
  <si>
    <t>警告（イエロー1枚）：-1</t>
  </si>
  <si>
    <t>退場（イエロー2枚）：-3</t>
  </si>
  <si>
    <t>一発退場（一発レッド）：-4</t>
  </si>
  <si>
    <t>警告からの一発退場（イエロー＋一発レッド）：-5</t>
  </si>
  <si>
    <t>1試合につき、選手またはチーム関係者に適用される減点は、上記のうち1つに限られる。</t>
  </si>
  <si>
    <t>チームのキー　FIFAコード</t>
  </si>
  <si>
    <t>得点</t>
  </si>
  <si>
    <t>NED</t>
  </si>
  <si>
    <t>JPN</t>
  </si>
  <si>
    <t>SWE</t>
  </si>
  <si>
    <t>TUN</t>
  </si>
  <si>
    <t>group_id</t>
  </si>
  <si>
    <t>group_name</t>
  </si>
  <si>
    <t>01</t>
  </si>
  <si>
    <t>A</t>
  </si>
  <si>
    <t>02</t>
  </si>
  <si>
    <t>B</t>
  </si>
  <si>
    <t>03</t>
  </si>
  <si>
    <t>C</t>
  </si>
  <si>
    <t>04</t>
  </si>
  <si>
    <t>D</t>
  </si>
  <si>
    <t>05</t>
  </si>
  <si>
    <t>E</t>
  </si>
  <si>
    <t>グループのキー</t>
  </si>
  <si>
    <t>06</t>
  </si>
  <si>
    <t>F</t>
  </si>
  <si>
    <t>グループ名</t>
  </si>
  <si>
    <t>07</t>
  </si>
  <si>
    <t>G</t>
  </si>
  <si>
    <t>08</t>
  </si>
  <si>
    <t>H</t>
  </si>
  <si>
    <t>09</t>
  </si>
  <si>
    <t>I</t>
  </si>
  <si>
    <t>10</t>
  </si>
  <si>
    <t>J</t>
  </si>
  <si>
    <t>11</t>
  </si>
  <si>
    <t>K</t>
  </si>
  <si>
    <t>12</t>
  </si>
  <si>
    <t>L</t>
  </si>
  <si>
    <t>team_name</t>
  </si>
  <si>
    <t>MEX</t>
  </si>
  <si>
    <t>メキシコ</t>
  </si>
  <si>
    <t>KOR</t>
  </si>
  <si>
    <t>大韓民国</t>
  </si>
  <si>
    <t>CZE</t>
  </si>
  <si>
    <t>チェコ共和国</t>
  </si>
  <si>
    <t>RSA</t>
  </si>
  <si>
    <t>南アフリカ</t>
  </si>
  <si>
    <t>CAN</t>
  </si>
  <si>
    <t>カナダ</t>
  </si>
  <si>
    <t>SUI</t>
  </si>
  <si>
    <t>スイス</t>
  </si>
  <si>
    <t>チーム名</t>
  </si>
  <si>
    <t>BIH</t>
  </si>
  <si>
    <t>ボスニア・ヘルツェゴビナ</t>
  </si>
  <si>
    <t>QAT</t>
  </si>
  <si>
    <t>カタール</t>
  </si>
  <si>
    <t>BRA</t>
  </si>
  <si>
    <t>ブラジル</t>
  </si>
  <si>
    <t>MAR</t>
  </si>
  <si>
    <t>モロッコ</t>
  </si>
  <si>
    <t>SCO</t>
  </si>
  <si>
    <t>スコットランド</t>
  </si>
  <si>
    <t>HAI</t>
  </si>
  <si>
    <t>ハイチ</t>
  </si>
  <si>
    <t>USA</t>
  </si>
  <si>
    <t>アメリカ合衆国</t>
  </si>
  <si>
    <t>AUS</t>
  </si>
  <si>
    <t>オーストラリア</t>
  </si>
  <si>
    <t>PAR</t>
  </si>
  <si>
    <t>パラグアイ</t>
  </si>
  <si>
    <t>TUR</t>
  </si>
  <si>
    <t>トルコ</t>
  </si>
  <si>
    <t>GER</t>
  </si>
  <si>
    <t>ドイツ</t>
  </si>
  <si>
    <t>CIV</t>
  </si>
  <si>
    <t>コートジボワール</t>
  </si>
  <si>
    <t>ECU</t>
  </si>
  <si>
    <t>エクアドル</t>
  </si>
  <si>
    <t>CUW</t>
  </si>
  <si>
    <t>キュラソー</t>
  </si>
  <si>
    <t>オランダ</t>
  </si>
  <si>
    <t>日本</t>
  </si>
  <si>
    <t>スウェーデン</t>
  </si>
  <si>
    <t>チュニジア</t>
  </si>
  <si>
    <t>EGY</t>
  </si>
  <si>
    <t>エジプト</t>
  </si>
  <si>
    <t>IRN</t>
  </si>
  <si>
    <t>イラン</t>
  </si>
  <si>
    <t>BEL</t>
  </si>
  <si>
    <t>ベルギー</t>
  </si>
  <si>
    <t>NZL</t>
  </si>
  <si>
    <t>ニュージーランド</t>
  </si>
  <si>
    <t>ESP</t>
  </si>
  <si>
    <t>スペイン</t>
  </si>
  <si>
    <t>URU</t>
  </si>
  <si>
    <t>ウルグアイ</t>
  </si>
  <si>
    <t>CPV</t>
  </si>
  <si>
    <t>カーボベルデ</t>
  </si>
  <si>
    <t>KSA</t>
  </si>
  <si>
    <t>サウジアラビア</t>
  </si>
  <si>
    <t>FRA</t>
  </si>
  <si>
    <t>フランス</t>
  </si>
  <si>
    <t>NOR</t>
  </si>
  <si>
    <t>ノルウェー</t>
  </si>
  <si>
    <t>SEN</t>
  </si>
  <si>
    <t>セネガル</t>
  </si>
  <si>
    <t>IRQ</t>
  </si>
  <si>
    <t>イラク</t>
  </si>
  <si>
    <t>ARG</t>
  </si>
  <si>
    <t>アルゼンチン</t>
  </si>
  <si>
    <t>AUT</t>
  </si>
  <si>
    <t>オーストリア</t>
  </si>
  <si>
    <t>JOR</t>
  </si>
  <si>
    <t>ヨルダン</t>
  </si>
  <si>
    <t>ALG</t>
  </si>
  <si>
    <t>アルジェリア</t>
  </si>
  <si>
    <t>COL</t>
  </si>
  <si>
    <t>コロンビア</t>
  </si>
  <si>
    <t>COD</t>
  </si>
  <si>
    <t>コンゴ民主共和国</t>
  </si>
  <si>
    <t>POR</t>
  </si>
  <si>
    <t>ポルトガル</t>
  </si>
  <si>
    <t>UZB</t>
  </si>
  <si>
    <t>ウズベキスタン</t>
  </si>
  <si>
    <t>ENG</t>
  </si>
  <si>
    <t>イングランド</t>
  </si>
  <si>
    <t>GHA</t>
  </si>
  <si>
    <t>ガーナ</t>
  </si>
  <si>
    <t>PAN</t>
  </si>
  <si>
    <t>パナマ</t>
  </si>
  <si>
    <t>CRO</t>
  </si>
  <si>
    <t>クロアチア</t>
  </si>
  <si>
    <t>rank</t>
  </si>
  <si>
    <t>--work　日本語名</t>
  </si>
  <si>
    <t>順位</t>
  </si>
  <si>
    <t>ITA</t>
  </si>
  <si>
    <t>イタリア</t>
  </si>
  <si>
    <t>DEN</t>
  </si>
  <si>
    <t>デンマーク</t>
  </si>
  <si>
    <t>NGA</t>
  </si>
  <si>
    <t>ナイジェリア</t>
  </si>
  <si>
    <t>UKR</t>
  </si>
  <si>
    <t>ウクライナ</t>
  </si>
  <si>
    <t>RUS</t>
  </si>
  <si>
    <t>ロシア</t>
  </si>
  <si>
    <t>POL</t>
  </si>
  <si>
    <t>ポーランド</t>
  </si>
  <si>
    <t>WAL</t>
  </si>
  <si>
    <t>ウェールズ</t>
  </si>
  <si>
    <t>HUN</t>
  </si>
  <si>
    <t>ハンガリー</t>
  </si>
  <si>
    <t>SRB</t>
  </si>
  <si>
    <t>セルビア</t>
  </si>
  <si>
    <t>CMR</t>
  </si>
  <si>
    <t>カメルーン</t>
  </si>
  <si>
    <t>SVK</t>
  </si>
  <si>
    <t>スロバキア</t>
  </si>
  <si>
    <t>GRE</t>
  </si>
  <si>
    <t>ギリシャ</t>
  </si>
  <si>
    <t>VEN</t>
  </si>
  <si>
    <t>ベネズエラ</t>
  </si>
  <si>
    <t>CHI</t>
  </si>
  <si>
    <t>チリ</t>
  </si>
  <si>
    <t>PER</t>
  </si>
  <si>
    <t>ペルー</t>
  </si>
  <si>
    <t>CRC</t>
  </si>
  <si>
    <t>コスタリカ</t>
  </si>
  <si>
    <t>ROU</t>
  </si>
  <si>
    <t>ルーマニア</t>
  </si>
  <si>
    <t>MLI</t>
  </si>
  <si>
    <t>マリ</t>
  </si>
  <si>
    <t>IRL</t>
  </si>
  <si>
    <t>アイルランド共和国</t>
  </si>
  <si>
    <t>SVN</t>
  </si>
  <si>
    <t>スロベニア</t>
  </si>
  <si>
    <t>BFA</t>
  </si>
  <si>
    <t>ブルキナファソ</t>
  </si>
  <si>
    <t>HON</t>
  </si>
  <si>
    <t>ホンジュラス</t>
  </si>
  <si>
    <t>ALB</t>
  </si>
  <si>
    <t>アルバニア</t>
  </si>
  <si>
    <t>UAE</t>
  </si>
  <si>
    <t>アラブ首長国連邦</t>
  </si>
  <si>
    <t>MKD</t>
  </si>
  <si>
    <t>北マケドニア</t>
  </si>
  <si>
    <t>NIR</t>
  </si>
  <si>
    <t>北アイルランド</t>
  </si>
  <si>
    <t>JAM</t>
  </si>
  <si>
    <t>ジャマイカ</t>
  </si>
  <si>
    <t>GEO</t>
  </si>
  <si>
    <t>ジョージア</t>
  </si>
  <si>
    <t>ISL</t>
  </si>
  <si>
    <t>アイスランド</t>
  </si>
  <si>
    <t>FIN</t>
  </si>
  <si>
    <t>フィンランド</t>
  </si>
  <si>
    <t>ISR</t>
  </si>
  <si>
    <t>イスラエル</t>
  </si>
  <si>
    <t>BOL</t>
  </si>
  <si>
    <t>ボリビア</t>
  </si>
  <si>
    <t>KOS</t>
  </si>
  <si>
    <t>コソボ</t>
  </si>
  <si>
    <t>OMA</t>
  </si>
  <si>
    <t>オマーン</t>
  </si>
  <si>
    <t>MNE</t>
  </si>
  <si>
    <t>モンテネグロ</t>
  </si>
  <si>
    <t>GUI</t>
  </si>
  <si>
    <t>ギニア</t>
  </si>
  <si>
    <t>SYR</t>
  </si>
  <si>
    <t>シリア</t>
  </si>
  <si>
    <t>GAB</t>
  </si>
  <si>
    <t>ガボン</t>
  </si>
  <si>
    <t>BUL</t>
  </si>
  <si>
    <t>ブルガリア</t>
  </si>
  <si>
    <t>ANG</t>
  </si>
  <si>
    <t>アンゴラ</t>
  </si>
  <si>
    <t>UGA</t>
  </si>
  <si>
    <t>ウガンダ</t>
  </si>
  <si>
    <t>ZAM</t>
  </si>
  <si>
    <t>ザンビア</t>
  </si>
  <si>
    <t>CHN</t>
  </si>
  <si>
    <t>中華人民共和国</t>
  </si>
  <si>
    <t>BHR</t>
  </si>
  <si>
    <t>バーレーン</t>
  </si>
  <si>
    <t>BEN</t>
  </si>
  <si>
    <t>ベナン</t>
  </si>
  <si>
    <t>THA</t>
  </si>
  <si>
    <t>タイ</t>
  </si>
  <si>
    <t>PSE</t>
  </si>
  <si>
    <t>パレスチナ</t>
  </si>
  <si>
    <t>BLR</t>
  </si>
  <si>
    <t>ベラルーシ</t>
  </si>
  <si>
    <t>GUA</t>
  </si>
  <si>
    <t>グアテマラ</t>
  </si>
  <si>
    <t>LUX</t>
  </si>
  <si>
    <t>ルクセンブルク</t>
  </si>
  <si>
    <t>VIE</t>
  </si>
  <si>
    <t>ベトナム</t>
  </si>
  <si>
    <t>SLV</t>
  </si>
  <si>
    <t>エルサルバドル</t>
  </si>
  <si>
    <t>TJK</t>
  </si>
  <si>
    <t>タジキスタン</t>
  </si>
  <si>
    <t>TRI</t>
  </si>
  <si>
    <t>トリニダード・トバゴ</t>
  </si>
  <si>
    <t>MOZ</t>
  </si>
  <si>
    <t>モザンビーク</t>
  </si>
  <si>
    <t>MAD</t>
  </si>
  <si>
    <t>マダガスカル</t>
  </si>
  <si>
    <t>EQG</t>
  </si>
  <si>
    <t>赤道ギニア</t>
  </si>
  <si>
    <t>KGZ</t>
  </si>
  <si>
    <t>キルギス共和国</t>
  </si>
  <si>
    <t>ARM</t>
  </si>
  <si>
    <t>アルメニア</t>
  </si>
  <si>
    <t>COM</t>
  </si>
  <si>
    <t>コモロ</t>
  </si>
  <si>
    <t>KEN</t>
  </si>
  <si>
    <t>ケニア</t>
  </si>
  <si>
    <t>LBY</t>
  </si>
  <si>
    <t>リビア</t>
  </si>
  <si>
    <t>KAZ</t>
  </si>
  <si>
    <t>カザフスタン</t>
  </si>
  <si>
    <t>TAN</t>
  </si>
  <si>
    <t>タンザニア</t>
  </si>
  <si>
    <t>MTN</t>
  </si>
  <si>
    <t>モーリタニア</t>
  </si>
  <si>
    <t>NER</t>
  </si>
  <si>
    <t>ニジェール</t>
  </si>
  <si>
    <t>LBN</t>
  </si>
  <si>
    <t>レバノン</t>
  </si>
  <si>
    <t>GAM</t>
  </si>
  <si>
    <t>ガンビア</t>
  </si>
  <si>
    <t>SDN</t>
  </si>
  <si>
    <t>スーダン</t>
  </si>
  <si>
    <t>IDN</t>
  </si>
  <si>
    <t>インドネシア</t>
  </si>
  <si>
    <t>TOG</t>
  </si>
  <si>
    <t>トーゴ</t>
  </si>
  <si>
    <t>PRK</t>
  </si>
  <si>
    <t>北朝鮮</t>
  </si>
  <si>
    <t>NAM</t>
  </si>
  <si>
    <t>ナミビア</t>
  </si>
  <si>
    <t>SLE</t>
  </si>
  <si>
    <t>シエラレオネ</t>
  </si>
  <si>
    <t>FRO</t>
  </si>
  <si>
    <t>フェロー諸島</t>
  </si>
  <si>
    <t>CYP</t>
  </si>
  <si>
    <t>キプロス</t>
  </si>
  <si>
    <t>SUR</t>
  </si>
  <si>
    <t>スリナム</t>
  </si>
  <si>
    <t>AZE</t>
  </si>
  <si>
    <t>アゼルバイジャン</t>
  </si>
  <si>
    <t>EST</t>
  </si>
  <si>
    <t>エストニア</t>
  </si>
  <si>
    <t>RWA</t>
  </si>
  <si>
    <t>ルワンダ</t>
  </si>
  <si>
    <t>MWI</t>
  </si>
  <si>
    <t>マラウイ</t>
  </si>
  <si>
    <t>ZIM</t>
  </si>
  <si>
    <t>ジンバブエ</t>
  </si>
  <si>
    <t>NCA</t>
  </si>
  <si>
    <t>ニカラグア</t>
  </si>
  <si>
    <t>GNB</t>
  </si>
  <si>
    <t>ギニアビサウ</t>
  </si>
  <si>
    <t>KUW</t>
  </si>
  <si>
    <t>クウェート</t>
  </si>
  <si>
    <t>CGO</t>
  </si>
  <si>
    <t>コンゴ</t>
  </si>
  <si>
    <t>PHI</t>
  </si>
  <si>
    <t>フィリピン</t>
  </si>
  <si>
    <t>MAS</t>
  </si>
  <si>
    <t>マレーシア</t>
  </si>
  <si>
    <t>LVA</t>
  </si>
  <si>
    <t>ラトビア</t>
  </si>
  <si>
    <t>IND</t>
  </si>
  <si>
    <t>インド</t>
  </si>
  <si>
    <t>CTA</t>
  </si>
  <si>
    <t>中央アフリカ共和国</t>
  </si>
  <si>
    <t>LBR</t>
  </si>
  <si>
    <t>リベリア</t>
  </si>
  <si>
    <t>TKM</t>
  </si>
  <si>
    <t>トルクメニスタン</t>
  </si>
  <si>
    <t>BDI</t>
  </si>
  <si>
    <t>ブルンジ</t>
  </si>
  <si>
    <t>ETH</t>
  </si>
  <si>
    <t>エチオピア</t>
  </si>
  <si>
    <t>DOM</t>
  </si>
  <si>
    <t>ドミニカ共和国</t>
  </si>
  <si>
    <t>YEM</t>
  </si>
  <si>
    <t>イエメン</t>
  </si>
  <si>
    <t>LES</t>
  </si>
  <si>
    <t>レソト</t>
  </si>
  <si>
    <t>BOT</t>
  </si>
  <si>
    <t>ボツワナ</t>
  </si>
  <si>
    <t>SIN</t>
  </si>
  <si>
    <t>シンガポール</t>
  </si>
  <si>
    <t>LTU</t>
  </si>
  <si>
    <t>リトアニア</t>
  </si>
  <si>
    <t>GUY</t>
  </si>
  <si>
    <t>ガイアナ</t>
  </si>
  <si>
    <t>NCL</t>
  </si>
  <si>
    <t>ニューカレドニア</t>
  </si>
  <si>
    <t>KNA</t>
  </si>
  <si>
    <t>セントクリストファー・ネイビス</t>
  </si>
  <si>
    <t>SOL</t>
  </si>
  <si>
    <t>ソロモン諸島</t>
  </si>
  <si>
    <t>PUR</t>
  </si>
  <si>
    <t>プエルトリコ</t>
  </si>
  <si>
    <t>FIJ</t>
  </si>
  <si>
    <t>フィジー</t>
  </si>
  <si>
    <t>HKG</t>
  </si>
  <si>
    <t>香港</t>
  </si>
  <si>
    <t>TAH</t>
  </si>
  <si>
    <t>タヒチ</t>
  </si>
  <si>
    <t>MYA</t>
  </si>
  <si>
    <t>ミャンマー</t>
  </si>
  <si>
    <t>MDA</t>
  </si>
  <si>
    <t>モルドバ</t>
  </si>
  <si>
    <t>VAN</t>
  </si>
  <si>
    <t>バヌアツ</t>
  </si>
  <si>
    <t>MLT</t>
  </si>
  <si>
    <t>マルタ</t>
  </si>
  <si>
    <t>ATG</t>
  </si>
  <si>
    <t>アンティグア・バーブーダ</t>
  </si>
  <si>
    <t>GRN</t>
  </si>
  <si>
    <t>グレナダ</t>
  </si>
  <si>
    <t>CUB</t>
  </si>
  <si>
    <t>キューバ</t>
  </si>
  <si>
    <t>SWZ</t>
  </si>
  <si>
    <t>エスワティニ</t>
  </si>
  <si>
    <t>LCA</t>
  </si>
  <si>
    <t>セントルシア</t>
  </si>
  <si>
    <t>BMU</t>
  </si>
  <si>
    <t>バミューダ諸島</t>
  </si>
  <si>
    <t>PNG</t>
  </si>
  <si>
    <t>パプアニューギニア</t>
  </si>
  <si>
    <t>SSD</t>
  </si>
  <si>
    <t>南スーダン</t>
  </si>
  <si>
    <t>VCT</t>
  </si>
  <si>
    <t>セントビンセント・グレナディーン諸島</t>
  </si>
  <si>
    <t>AFG</t>
  </si>
  <si>
    <t>アフガニスタン</t>
  </si>
  <si>
    <t>AND</t>
  </si>
  <si>
    <t>アンドラ</t>
  </si>
  <si>
    <t>MDV</t>
  </si>
  <si>
    <t>モルディブ</t>
  </si>
  <si>
    <t>TPE</t>
  </si>
  <si>
    <t>チャイニーズタイペイ</t>
  </si>
  <si>
    <t>CAM</t>
  </si>
  <si>
    <t>カンボジア</t>
  </si>
  <si>
    <t>MSR</t>
  </si>
  <si>
    <t>モントセラト</t>
  </si>
  <si>
    <t>NEP</t>
  </si>
  <si>
    <t>ネパール</t>
  </si>
  <si>
    <t>MRI</t>
  </si>
  <si>
    <t>モーリシャス</t>
  </si>
  <si>
    <t>BAR</t>
  </si>
  <si>
    <t>バルバドス</t>
  </si>
  <si>
    <t>BLZ</t>
  </si>
  <si>
    <t>ベリーズ</t>
  </si>
  <si>
    <t>BAN</t>
  </si>
  <si>
    <t>バングラデシュ</t>
  </si>
  <si>
    <t>DMA</t>
  </si>
  <si>
    <t>ドミニカ国</t>
  </si>
  <si>
    <t>CHA</t>
  </si>
  <si>
    <t>チャド</t>
  </si>
  <si>
    <t>ERI</t>
  </si>
  <si>
    <t>エリトリア</t>
  </si>
  <si>
    <t>LAO</t>
  </si>
  <si>
    <t>ラオス</t>
  </si>
  <si>
    <t>COK</t>
  </si>
  <si>
    <t>クック諸島</t>
  </si>
  <si>
    <t>SRI</t>
  </si>
  <si>
    <t>スリランカ</t>
  </si>
  <si>
    <t>SAM</t>
  </si>
  <si>
    <t>サモア</t>
  </si>
  <si>
    <t>ARU</t>
  </si>
  <si>
    <t>アルバ</t>
  </si>
  <si>
    <t>MNG</t>
  </si>
  <si>
    <t>モンゴル</t>
  </si>
  <si>
    <t>ASA</t>
  </si>
  <si>
    <t>アメリカ領サモア</t>
  </si>
  <si>
    <t>BHU</t>
  </si>
  <si>
    <t>ブータン</t>
  </si>
  <si>
    <t>MAC</t>
  </si>
  <si>
    <t>マカオ</t>
  </si>
  <si>
    <t>BRU</t>
  </si>
  <si>
    <t>ブルネイ</t>
  </si>
  <si>
    <t>STP</t>
  </si>
  <si>
    <t>サントメ・プリンシペ</t>
  </si>
  <si>
    <t>DJI</t>
  </si>
  <si>
    <t>ジブチ</t>
  </si>
  <si>
    <t>CAY</t>
  </si>
  <si>
    <t>ケイマン諸島</t>
  </si>
  <si>
    <t>PAK</t>
  </si>
  <si>
    <t>パキスタン</t>
  </si>
  <si>
    <t>SOM</t>
  </si>
  <si>
    <t>ソマリア</t>
  </si>
  <si>
    <t>TGA</t>
  </si>
  <si>
    <t>トンガ</t>
  </si>
  <si>
    <t>TLS</t>
  </si>
  <si>
    <t>東ティモール</t>
  </si>
  <si>
    <t>GIB</t>
  </si>
  <si>
    <t>ジブラルタル</t>
  </si>
  <si>
    <t>GUM</t>
  </si>
  <si>
    <t>グアム</t>
  </si>
  <si>
    <t>SEY</t>
  </si>
  <si>
    <t>セーシェル</t>
  </si>
  <si>
    <t>TCA</t>
  </si>
  <si>
    <t>タークス・カイコス諸島</t>
  </si>
  <si>
    <t>LIE</t>
  </si>
  <si>
    <t>リヒテンシュタイン</t>
  </si>
  <si>
    <t>BAH</t>
  </si>
  <si>
    <t>バハマ</t>
  </si>
  <si>
    <t>VIR</t>
  </si>
  <si>
    <t>アメリカ領ヴァージン諸島</t>
  </si>
  <si>
    <t>VGB</t>
  </si>
  <si>
    <t>英領ヴァージン諸島</t>
  </si>
  <si>
    <t>AIA</t>
  </si>
  <si>
    <t>アンギラ</t>
  </si>
  <si>
    <t>SMR</t>
  </si>
  <si>
    <t>サンマリノ</t>
  </si>
  <si>
    <t>グループ内の勝ち点</t>
  </si>
  <si>
    <t>勝ち：+3</t>
  </si>
  <si>
    <t>引き分け：+1</t>
  </si>
  <si>
    <t>負け：0</t>
  </si>
  <si>
    <t>STEP1</t>
  </si>
  <si>
    <t>当該チーム間の試合の勝ち点</t>
  </si>
  <si>
    <t>当該チーム間の試合の得失点差</t>
  </si>
  <si>
    <t>当該チーム間の試合の最高得点</t>
  </si>
  <si>
    <t>※順位がつかなくなるまで繰り返し</t>
  </si>
  <si>
    <t>STEP2</t>
  </si>
  <si>
    <t>消化した試合の数</t>
  </si>
  <si>
    <t>グループ内の得失点差</t>
  </si>
  <si>
    <t>勝ちの数</t>
  </si>
  <si>
    <t>グループ内の最高得点</t>
  </si>
  <si>
    <t>引き分けの数</t>
  </si>
  <si>
    <t>負けの数</t>
  </si>
  <si>
    <t>総得点</t>
  </si>
  <si>
    <t>総失点</t>
  </si>
  <si>
    <t>得失点差</t>
  </si>
  <si>
    <t>勝ち点</t>
  </si>
  <si>
    <t>※繰り返さない</t>
  </si>
  <si>
    <t>pythonで制御する？</t>
  </si>
  <si>
    <t>sqliteにPLSQLみたいなのある？</t>
  </si>
  <si>
    <t>margin</t>
  </si>
  <si>
    <t>点差</t>
  </si>
  <si>
    <t>number</t>
  </si>
  <si>
    <t>数</t>
  </si>
  <si>
    <t>percentage</t>
  </si>
  <si>
    <t>割合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</si>
</sst>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_ "/>
  </numFmts>
  <fonts count="21">
    <font>
      <sz val="11"/>
      <color theme="1"/>
      <name val="メイリオ"/>
      <charset val="134"/>
    </font>
    <font>
      <b/>
      <sz val="11"/>
      <color theme="0"/>
      <name val="メイリオ"/>
      <charset val="134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Continuous" vertical="center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179" fontId="0" fillId="0" borderId="1" xfId="1" applyNumberFormat="1" applyBorder="1">
      <alignment vertical="center"/>
    </xf>
    <xf numFmtId="49" fontId="0" fillId="0" borderId="1" xfId="0" applyNumberFormat="1" applyBorder="1">
      <alignment vertical="center"/>
    </xf>
    <xf numFmtId="0" fontId="0" fillId="0" borderId="0" xfId="0" applyFill="1" applyBorder="1">
      <alignment vertical="center"/>
    </xf>
    <xf numFmtId="49" fontId="0" fillId="0" borderId="0" xfId="0" applyNumberFormat="1" applyBorder="1">
      <alignment vertical="center"/>
    </xf>
    <xf numFmtId="49" fontId="0" fillId="0" borderId="0" xfId="0" applyNumberFormat="1">
      <alignment vertical="center"/>
    </xf>
    <xf numFmtId="179" fontId="0" fillId="0" borderId="0" xfId="1" applyNumberFormat="1">
      <alignment vertical="center"/>
    </xf>
    <xf numFmtId="0" fontId="0" fillId="0" borderId="0" xfId="0" applyFont="1">
      <alignment vertical="center"/>
    </xf>
    <xf numFmtId="49" fontId="0" fillId="0" borderId="1" xfId="0" applyNumberFormat="1" applyBorder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Fill="1" applyBorder="1" quotePrefix="1">
      <alignment vertical="center"/>
    </xf>
  </cellXfs>
  <cellStyles count="49">
    <cellStyle name="標準" xfId="0" builtinId="0"/>
    <cellStyle name="桁区切り" xfId="1" builtinId="3"/>
    <cellStyle name="通貨" xfId="2" builtinId="4"/>
    <cellStyle name="パーセント" xfId="3" builtinId="5"/>
    <cellStyle name="桁区切り[0]" xfId="4" builtinId="6"/>
    <cellStyle name="通貨[0]" xfId="5" builtinId="7"/>
    <cellStyle name="ハイパーリンク" xfId="6" builtinId="8"/>
    <cellStyle name="訪問済ハイパーリンク" xfId="7" builtinId="9"/>
    <cellStyle name="メモ" xfId="8" builtinId="10"/>
    <cellStyle name="警告文" xfId="9" builtinId="11"/>
    <cellStyle name="タイトル" xfId="10" builtinId="15"/>
    <cellStyle name="説明文" xfId="11" builtinId="53"/>
    <cellStyle name="見出し 1" xfId="12" builtinId="16"/>
    <cellStyle name="見出し 2" xfId="13" builtinId="17"/>
    <cellStyle name="見出し 3" xfId="14" builtinId="18"/>
    <cellStyle name="見出し 4" xfId="15" builtinId="19"/>
    <cellStyle name="入力" xfId="16" builtinId="20"/>
    <cellStyle name="出力" xfId="17" builtinId="21"/>
    <cellStyle name="計算" xfId="18" builtinId="22"/>
    <cellStyle name="チェックセル" xfId="19" builtinId="23"/>
    <cellStyle name="リンクセル" xfId="20" builtinId="24"/>
    <cellStyle name="集計" xfId="21" builtinId="25"/>
    <cellStyle name="良い" xfId="22" builtinId="26"/>
    <cellStyle name="悪い" xfId="23" builtinId="27"/>
    <cellStyle name="どちらでもない" xfId="24" builtinId="28"/>
    <cellStyle name="アクセント 1" xfId="25" builtinId="29"/>
    <cellStyle name="20% - アクセント 1" xfId="26" builtinId="30"/>
    <cellStyle name="40% - アクセント 1" xfId="27" builtinId="31"/>
    <cellStyle name="60% - アクセント 1" xfId="28" builtinId="32"/>
    <cellStyle name="アクセント 2" xfId="29" builtinId="33"/>
    <cellStyle name="20% - アクセント 2" xfId="30" builtinId="34"/>
    <cellStyle name="40% - アクセント 2" xfId="31" builtinId="35"/>
    <cellStyle name="60% - アクセント 2" xfId="32" builtinId="36"/>
    <cellStyle name="アクセント 3" xfId="33" builtinId="37"/>
    <cellStyle name="20% - アクセント 3" xfId="34" builtinId="38"/>
    <cellStyle name="40% - アクセント 3" xfId="35" builtinId="39"/>
    <cellStyle name="60% - アクセント 3" xfId="36" builtinId="40"/>
    <cellStyle name="アクセント 4" xfId="37" builtinId="41"/>
    <cellStyle name="20% - アクセント 4" xfId="38" builtinId="42"/>
    <cellStyle name="40% - アクセント 4" xfId="39" builtinId="43"/>
    <cellStyle name="60% - アクセント 4" xfId="40" builtinId="44"/>
    <cellStyle name="アクセント 5" xfId="41" builtinId="45"/>
    <cellStyle name="20% - アクセント 5" xfId="42" builtinId="46"/>
    <cellStyle name="40% - アクセント 5" xfId="43" builtinId="47"/>
    <cellStyle name="60% - アクセント 5" xfId="44" builtinId="48"/>
    <cellStyle name="アクセント 6" xfId="45" builtinId="49"/>
    <cellStyle name="20% - アクセント 6" xfId="46" builtinId="50"/>
    <cellStyle name="40% - アクセント 6" xfId="47" builtinId="51"/>
    <cellStyle name="60% - アクセント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C8"/>
  <sheetViews>
    <sheetView workbookViewId="0">
      <selection activeCell="A1" sqref="A1"/>
    </sheetView>
  </sheetViews>
  <sheetFormatPr defaultColWidth="3.77777777777778" defaultRowHeight="18.75" outlineLevelRow="7" outlineLevelCol="2"/>
  <cols>
    <col min="1" max="16384" width="3.77777777777778" customWidth="1"/>
  </cols>
  <sheetData>
    <row r="2" spans="2:2">
      <c r="B2" t="s">
        <v>0</v>
      </c>
    </row>
    <row r="3" spans="3:3">
      <c r="C3" t="s">
        <v>1</v>
      </c>
    </row>
    <row r="5" spans="2:2">
      <c r="B5" t="s">
        <v>2</v>
      </c>
    </row>
    <row r="6" spans="2:2">
      <c r="B6" t="s">
        <v>3</v>
      </c>
    </row>
    <row r="8" spans="2:2">
      <c r="B8" t="s">
        <v>4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29"/>
  <sheetViews>
    <sheetView tabSelected="1" workbookViewId="0">
      <selection activeCell="C24" sqref="C24"/>
    </sheetView>
  </sheetViews>
  <sheetFormatPr defaultColWidth="3.77777777777778" defaultRowHeight="18.75" outlineLevelCol="3"/>
  <cols>
    <col min="1" max="16384" width="3.77777777777778" customWidth="1"/>
  </cols>
  <sheetData>
    <row r="2" spans="2:2">
      <c r="B2" t="s">
        <v>5</v>
      </c>
    </row>
    <row r="3" spans="3:3">
      <c r="C3" t="s">
        <v>6</v>
      </c>
    </row>
    <row r="4" spans="3:3">
      <c r="C4" t="s">
        <v>7</v>
      </c>
    </row>
    <row r="5" spans="4:4">
      <c r="D5" t="s">
        <v>8</v>
      </c>
    </row>
    <row r="7" spans="2:2">
      <c r="B7" t="s">
        <v>9</v>
      </c>
    </row>
    <row r="8" spans="3:3">
      <c r="C8" t="s">
        <v>10</v>
      </c>
    </row>
    <row r="10" customFormat="1" spans="2:2">
      <c r="B10" t="s">
        <v>11</v>
      </c>
    </row>
    <row r="11" customFormat="1" spans="3:3">
      <c r="C11" t="s">
        <v>12</v>
      </c>
    </row>
    <row r="12" customFormat="1"/>
    <row r="13" spans="2:2">
      <c r="B13" t="s">
        <v>13</v>
      </c>
    </row>
    <row r="14" spans="3:3">
      <c r="C14" t="s">
        <v>14</v>
      </c>
    </row>
    <row r="16" spans="2:2">
      <c r="B16" t="s">
        <v>15</v>
      </c>
    </row>
    <row r="17" spans="3:3">
      <c r="C17" t="s">
        <v>16</v>
      </c>
    </row>
    <row r="19" spans="2:2">
      <c r="B19" t="s">
        <v>17</v>
      </c>
    </row>
    <row r="20" spans="3:3">
      <c r="C20" t="s">
        <v>18</v>
      </c>
    </row>
    <row r="22" spans="2:2">
      <c r="B22" t="s">
        <v>19</v>
      </c>
    </row>
    <row r="23" spans="3:3">
      <c r="C23" t="s">
        <v>20</v>
      </c>
    </row>
    <row r="24" spans="3:3">
      <c r="C24" t="s">
        <v>21</v>
      </c>
    </row>
    <row r="25" spans="3:3">
      <c r="C25" t="s">
        <v>22</v>
      </c>
    </row>
    <row r="26" spans="3:3">
      <c r="C26" t="s">
        <v>23</v>
      </c>
    </row>
    <row r="27" spans="3:3">
      <c r="C27" t="s">
        <v>24</v>
      </c>
    </row>
    <row r="28" spans="3:3">
      <c r="C28" t="s">
        <v>25</v>
      </c>
    </row>
    <row r="29" spans="3:3">
      <c r="C29" t="s">
        <v>26</v>
      </c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15"/>
  <sheetViews>
    <sheetView workbookViewId="0">
      <selection activeCell="A1" sqref="A1"/>
    </sheetView>
  </sheetViews>
  <sheetFormatPr defaultColWidth="3.77777777777778" defaultRowHeight="18.75" outlineLevelCol="3"/>
  <cols>
    <col min="1" max="1" width="3.77777777777778" customWidth="1"/>
    <col min="2" max="2" width="30.7777777777778" customWidth="1"/>
    <col min="3" max="3" width="10.7777777777778" customWidth="1"/>
    <col min="4" max="4" width="40.7777777777778" customWidth="1"/>
    <col min="5" max="16382" width="3.77777777777778" customWidth="1"/>
  </cols>
  <sheetData>
    <row r="2" spans="2:2">
      <c r="B2" t="s">
        <v>27</v>
      </c>
    </row>
    <row r="3" spans="2:2">
      <c r="B3" s="16" t="s">
        <v>28</v>
      </c>
    </row>
    <row r="4" spans="2:2">
      <c r="B4" s="16" t="s">
        <v>29</v>
      </c>
    </row>
    <row r="5" spans="2:2">
      <c r="B5" s="16" t="s">
        <v>30</v>
      </c>
    </row>
    <row r="7" spans="2:4">
      <c r="B7" s="2" t="s">
        <v>31</v>
      </c>
      <c r="C7" s="2" t="s">
        <v>32</v>
      </c>
      <c r="D7" s="2" t="s">
        <v>33</v>
      </c>
    </row>
    <row r="8" spans="2:4">
      <c r="B8" s="6" t="s">
        <v>34</v>
      </c>
      <c r="C8" s="6" t="s">
        <v>35</v>
      </c>
      <c r="D8" s="6" t="s">
        <v>36</v>
      </c>
    </row>
    <row r="9" spans="2:4">
      <c r="B9" s="6" t="s">
        <v>37</v>
      </c>
      <c r="C9" s="6" t="s">
        <v>35</v>
      </c>
      <c r="D9" s="6" t="s">
        <v>38</v>
      </c>
    </row>
    <row r="10" spans="2:4">
      <c r="B10" s="6" t="s">
        <v>39</v>
      </c>
      <c r="C10" s="6" t="s">
        <v>40</v>
      </c>
      <c r="D10" s="6" t="s">
        <v>41</v>
      </c>
    </row>
    <row r="11" spans="2:4">
      <c r="B11" s="6" t="s">
        <v>42</v>
      </c>
      <c r="C11" s="6" t="s">
        <v>40</v>
      </c>
      <c r="D11" s="6" t="s">
        <v>43</v>
      </c>
    </row>
    <row r="12" customFormat="1" spans="2:4">
      <c r="B12" s="6" t="s">
        <v>44</v>
      </c>
      <c r="C12" s="6" t="s">
        <v>40</v>
      </c>
      <c r="D12" s="6" t="s">
        <v>45</v>
      </c>
    </row>
    <row r="13" customFormat="1" spans="2:4">
      <c r="B13" s="6" t="s">
        <v>46</v>
      </c>
      <c r="C13" s="6" t="s">
        <v>47</v>
      </c>
      <c r="D13" s="6" t="s">
        <v>48</v>
      </c>
    </row>
    <row r="14" customFormat="1" spans="2:4">
      <c r="B14" s="6" t="s">
        <v>49</v>
      </c>
      <c r="C14" s="6" t="s">
        <v>47</v>
      </c>
      <c r="D14" s="6" t="s">
        <v>50</v>
      </c>
    </row>
    <row r="15" customFormat="1" spans="2:4">
      <c r="B15" s="6"/>
      <c r="C15" s="6"/>
      <c r="D15" s="6"/>
    </row>
  </sheetData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5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77777777777778" customWidth="1"/>
    <col min="8" max="8" width="13.5555555555556" customWidth="1"/>
    <col min="9" max="9" width="26" customWidth="1"/>
    <col min="10" max="16382" width="3.77777777777778" customWidth="1"/>
  </cols>
  <sheetData>
    <row r="1" spans="1:9">
      <c r="A1" s="14"/>
      <c r="G1" t="s">
        <v>51</v>
      </c>
      <c r="H1" t="s">
        <v>51</v>
      </c>
      <c r="I1" t="s">
        <v>51</v>
      </c>
    </row>
    <row r="2" spans="2:10">
      <c r="B2" s="1" t="s">
        <v>31</v>
      </c>
      <c r="C2" s="1"/>
      <c r="D2" s="1"/>
      <c r="E2" s="2" t="s">
        <v>32</v>
      </c>
      <c r="G2" s="7" t="s">
        <v>52</v>
      </c>
      <c r="H2" s="7" t="s">
        <v>53</v>
      </c>
      <c r="I2" s="7" t="s">
        <v>54</v>
      </c>
      <c r="J2" t="str">
        <f>"INSERT INTO "&amp;B3&amp;" ("&amp;F8&amp;F9&amp;F10&amp;") VALUES "</f>
        <v>INSERT INTO MATCHES (match_id, match_date, venue) VALUES </v>
      </c>
    </row>
    <row r="3" spans="2:10">
      <c r="B3" s="3" t="s">
        <v>34</v>
      </c>
      <c r="C3" s="3"/>
      <c r="D3" s="3"/>
      <c r="E3" s="4" t="s">
        <v>35</v>
      </c>
      <c r="G3" s="15" t="s">
        <v>55</v>
      </c>
      <c r="H3" s="15" t="s">
        <v>56</v>
      </c>
      <c r="I3" s="15" t="s">
        <v>57</v>
      </c>
      <c r="J3" t="str">
        <f t="shared" ref="J3:J66" si="0">CHAR(9)&amp;"('"&amp;G3&amp;"', '"&amp;H3&amp;"', '"&amp;I3&amp;"'), "</f>
        <v>	('001', '202606120400', 'メキシコシティ'), </v>
      </c>
    </row>
    <row r="4" spans="2:10">
      <c r="B4" s="1" t="s">
        <v>33</v>
      </c>
      <c r="C4" s="1"/>
      <c r="D4" s="1"/>
      <c r="E4" s="1"/>
      <c r="G4" s="15" t="s">
        <v>58</v>
      </c>
      <c r="H4" s="15" t="s">
        <v>59</v>
      </c>
      <c r="I4" s="15" t="s">
        <v>60</v>
      </c>
      <c r="J4" t="str">
        <f t="shared" si="0"/>
        <v>	('002', '20260612', 'グアダラハラ'), </v>
      </c>
    </row>
    <row r="5" spans="2:10">
      <c r="B5" s="3" t="s">
        <v>36</v>
      </c>
      <c r="C5" s="3"/>
      <c r="D5" s="3"/>
      <c r="E5" s="3"/>
      <c r="G5" s="15" t="s">
        <v>61</v>
      </c>
      <c r="H5" s="15" t="s">
        <v>62</v>
      </c>
      <c r="I5" s="15" t="s">
        <v>63</v>
      </c>
      <c r="J5" t="str">
        <f t="shared" si="0"/>
        <v>	('003', '20260613', 'トロント'), </v>
      </c>
    </row>
    <row r="6" spans="7:10">
      <c r="G6" s="15" t="s">
        <v>64</v>
      </c>
      <c r="H6" s="15" t="s">
        <v>62</v>
      </c>
      <c r="I6" s="15" t="s">
        <v>65</v>
      </c>
      <c r="J6" t="str">
        <f t="shared" si="0"/>
        <v>	('004', '20260613', 'ロサンゼルス'), </v>
      </c>
    </row>
    <row r="7" spans="2:10">
      <c r="B7" s="5" t="s">
        <v>66</v>
      </c>
      <c r="C7" s="5" t="s">
        <v>67</v>
      </c>
      <c r="D7" s="5" t="s">
        <v>68</v>
      </c>
      <c r="E7" s="5" t="s">
        <v>33</v>
      </c>
      <c r="G7" s="15" t="s">
        <v>69</v>
      </c>
      <c r="H7" s="15" t="s">
        <v>70</v>
      </c>
      <c r="I7" s="15" t="s">
        <v>71</v>
      </c>
      <c r="J7" t="str">
        <f t="shared" si="0"/>
        <v>	('005', '20260614', 'サンフランシスコ・ベイエリア'), </v>
      </c>
    </row>
    <row r="8" spans="2:10">
      <c r="B8" s="6" t="s">
        <v>52</v>
      </c>
      <c r="C8" s="4" t="s">
        <v>72</v>
      </c>
      <c r="D8" s="4" t="s">
        <v>72</v>
      </c>
      <c r="E8" s="6" t="s">
        <v>73</v>
      </c>
      <c r="F8" t="str">
        <f>B8&amp;", "</f>
        <v>match_id, </v>
      </c>
      <c r="G8" s="15" t="s">
        <v>74</v>
      </c>
      <c r="H8" s="15" t="s">
        <v>70</v>
      </c>
      <c r="I8" s="15" t="s">
        <v>75</v>
      </c>
      <c r="J8" t="str">
        <f t="shared" si="0"/>
        <v>	('006', '20260614', 'ニュー・ジャージー'), </v>
      </c>
    </row>
    <row r="9" spans="2:10">
      <c r="B9" s="6" t="s">
        <v>53</v>
      </c>
      <c r="C9" s="4"/>
      <c r="D9" s="4"/>
      <c r="E9" s="6" t="s">
        <v>76</v>
      </c>
      <c r="F9" t="str">
        <f>B9&amp;", "</f>
        <v>match_date, </v>
      </c>
      <c r="G9" s="15" t="s">
        <v>77</v>
      </c>
      <c r="H9" s="15" t="s">
        <v>70</v>
      </c>
      <c r="I9" s="15" t="s">
        <v>78</v>
      </c>
      <c r="J9" t="str">
        <f t="shared" si="0"/>
        <v>	('007', '20260614', 'ボストン'), </v>
      </c>
    </row>
    <row r="10" spans="2:10">
      <c r="B10" s="6" t="s">
        <v>54</v>
      </c>
      <c r="C10" s="4"/>
      <c r="D10" s="4"/>
      <c r="E10" s="6" t="s">
        <v>79</v>
      </c>
      <c r="F10" t="str">
        <f>B10</f>
        <v>venue</v>
      </c>
      <c r="G10" s="15" t="s">
        <v>80</v>
      </c>
      <c r="H10" s="15" t="s">
        <v>70</v>
      </c>
      <c r="I10" s="15" t="s">
        <v>81</v>
      </c>
      <c r="J10" t="str">
        <f t="shared" si="0"/>
        <v>	('008', '20260614', 'バンクーバー'), </v>
      </c>
    </row>
    <row r="11" spans="2:10">
      <c r="B11" s="6"/>
      <c r="C11" s="4"/>
      <c r="D11" s="4"/>
      <c r="E11" s="6"/>
      <c r="G11" s="15" t="s">
        <v>82</v>
      </c>
      <c r="H11" s="15" t="s">
        <v>83</v>
      </c>
      <c r="I11" s="15" t="s">
        <v>84</v>
      </c>
      <c r="J11" t="str">
        <f t="shared" si="0"/>
        <v>	('009', '20260615', 'ヒューストン'), </v>
      </c>
    </row>
    <row r="12" spans="2:10">
      <c r="B12" s="6"/>
      <c r="C12" s="4"/>
      <c r="D12" s="4"/>
      <c r="E12" s="6"/>
      <c r="G12" s="15" t="s">
        <v>85</v>
      </c>
      <c r="H12" s="15" t="s">
        <v>86</v>
      </c>
      <c r="I12" s="15" t="s">
        <v>87</v>
      </c>
      <c r="J12" t="str">
        <f t="shared" si="0"/>
        <v>	('010', '202606150500', 'ダラス'), </v>
      </c>
    </row>
    <row r="13" spans="7:10">
      <c r="G13" s="15" t="s">
        <v>88</v>
      </c>
      <c r="H13" s="15" t="s">
        <v>83</v>
      </c>
      <c r="I13" s="15" t="s">
        <v>89</v>
      </c>
      <c r="J13" t="str">
        <f t="shared" si="0"/>
        <v>	('011', '20260615', 'フィラデルフィア'), </v>
      </c>
    </row>
    <row r="14" spans="2:10">
      <c r="B14" t="str">
        <f>"DROP TABLE "&amp;B3&amp;" ;"</f>
        <v>DROP TABLE MATCHES ;</v>
      </c>
      <c r="G14" s="15" t="s">
        <v>90</v>
      </c>
      <c r="H14" s="15" t="s">
        <v>91</v>
      </c>
      <c r="I14" s="15" t="s">
        <v>92</v>
      </c>
      <c r="J14" t="str">
        <f t="shared" si="0"/>
        <v>	('012', '202606151100', 'モンテレイ'), </v>
      </c>
    </row>
    <row r="15" spans="7:10">
      <c r="G15" s="15" t="s">
        <v>93</v>
      </c>
      <c r="H15" s="15" t="s">
        <v>94</v>
      </c>
      <c r="I15" s="15" t="s">
        <v>95</v>
      </c>
      <c r="J15" t="str">
        <f t="shared" si="0"/>
        <v>	('013', '20260616', 'アトランタ'), </v>
      </c>
    </row>
    <row r="16" spans="2:10">
      <c r="B16" t="str">
        <f>"CREATE TABLE "&amp;B3&amp;"("</f>
        <v>CREATE TABLE MATCHES(</v>
      </c>
      <c r="G16" s="15" t="s">
        <v>96</v>
      </c>
      <c r="H16" s="15" t="s">
        <v>94</v>
      </c>
      <c r="I16" s="15" t="s">
        <v>97</v>
      </c>
      <c r="J16" t="str">
        <f t="shared" si="0"/>
        <v>	('014', '20260616', 'シアトル'), </v>
      </c>
    </row>
    <row r="17" spans="2:10">
      <c r="B17" t="str">
        <f t="shared" ref="B17:B19" si="1">CHAR(9)&amp;F8</f>
        <v>	match_id, </v>
      </c>
      <c r="G17" s="15" t="s">
        <v>98</v>
      </c>
      <c r="H17" s="15" t="s">
        <v>94</v>
      </c>
      <c r="I17" s="15" t="s">
        <v>99</v>
      </c>
      <c r="J17" t="str">
        <f t="shared" si="0"/>
        <v>	('015', '20260616', 'マイアミ'), </v>
      </c>
    </row>
    <row r="18" spans="2:10">
      <c r="B18" t="str">
        <f t="shared" si="1"/>
        <v>	match_date, </v>
      </c>
      <c r="G18" s="15" t="s">
        <v>100</v>
      </c>
      <c r="H18" s="15" t="s">
        <v>94</v>
      </c>
      <c r="I18" s="15" t="s">
        <v>65</v>
      </c>
      <c r="J18" t="str">
        <f t="shared" si="0"/>
        <v>	('016', '20260616', 'ロサンゼルス'), </v>
      </c>
    </row>
    <row r="19" spans="2:10">
      <c r="B19" t="str">
        <f t="shared" si="1"/>
        <v>	venue</v>
      </c>
      <c r="G19" s="15" t="s">
        <v>101</v>
      </c>
      <c r="H19" s="15" t="s">
        <v>102</v>
      </c>
      <c r="I19" s="15" t="s">
        <v>75</v>
      </c>
      <c r="J19" t="str">
        <f t="shared" si="0"/>
        <v>	('017', '20260617', 'ニュー・ジャージー'), </v>
      </c>
    </row>
    <row r="20" spans="2:10">
      <c r="B20" t="str">
        <f>");"</f>
        <v>);</v>
      </c>
      <c r="G20" s="15" t="s">
        <v>103</v>
      </c>
      <c r="H20" s="15" t="s">
        <v>102</v>
      </c>
      <c r="I20" s="15" t="s">
        <v>78</v>
      </c>
      <c r="J20" t="str">
        <f t="shared" si="0"/>
        <v>	('018', '20260617', 'ボストン'), </v>
      </c>
    </row>
    <row r="21" spans="7:10">
      <c r="G21" s="15" t="s">
        <v>104</v>
      </c>
      <c r="H21" s="15" t="s">
        <v>102</v>
      </c>
      <c r="I21" s="15" t="s">
        <v>105</v>
      </c>
      <c r="J21" t="str">
        <f t="shared" si="0"/>
        <v>	('019', '20260617', 'カンザスシティ'), </v>
      </c>
    </row>
    <row r="22" spans="2:10">
      <c r="B22" t="str">
        <f>"CREATE INDEX "&amp;B3&amp;"_IDX ON "&amp;B3&amp;" ("</f>
        <v>CREATE INDEX MATCHES_IDX ON MATCHES (</v>
      </c>
      <c r="G22" s="15" t="s">
        <v>106</v>
      </c>
      <c r="H22" s="15" t="s">
        <v>102</v>
      </c>
      <c r="I22" s="15" t="s">
        <v>71</v>
      </c>
      <c r="J22" t="str">
        <f t="shared" si="0"/>
        <v>	('020', '20260617', 'サンフランシスコ・ベイエリア'), </v>
      </c>
    </row>
    <row r="23" spans="2:10">
      <c r="B23" t="str">
        <f>CHAR(9)&amp;B8</f>
        <v>	match_id</v>
      </c>
      <c r="G23" s="15" t="s">
        <v>107</v>
      </c>
      <c r="H23" s="15" t="s">
        <v>108</v>
      </c>
      <c r="I23" s="15" t="s">
        <v>84</v>
      </c>
      <c r="J23" t="str">
        <f t="shared" si="0"/>
        <v>	('021', '20260618', 'ヒューストン'), </v>
      </c>
    </row>
    <row r="24" spans="2:10">
      <c r="B24" t="s">
        <v>109</v>
      </c>
      <c r="G24" s="15" t="s">
        <v>110</v>
      </c>
      <c r="H24" s="15" t="s">
        <v>108</v>
      </c>
      <c r="I24" s="15" t="s">
        <v>87</v>
      </c>
      <c r="J24" t="str">
        <f t="shared" si="0"/>
        <v>	('022', '20260618', 'ダラス'), </v>
      </c>
    </row>
    <row r="25" spans="7:10">
      <c r="G25" s="15" t="s">
        <v>111</v>
      </c>
      <c r="H25" s="15" t="s">
        <v>108</v>
      </c>
      <c r="I25" s="15" t="s">
        <v>63</v>
      </c>
      <c r="J25" t="str">
        <f t="shared" si="0"/>
        <v>	('023', '20260618', 'トロント'), </v>
      </c>
    </row>
    <row r="26" spans="7:10">
      <c r="G26" s="15" t="s">
        <v>112</v>
      </c>
      <c r="H26" s="15" t="s">
        <v>108</v>
      </c>
      <c r="I26" s="15" t="s">
        <v>57</v>
      </c>
      <c r="J26" t="str">
        <f t="shared" si="0"/>
        <v>	('024', '20260618', 'メキシコシティ'), </v>
      </c>
    </row>
    <row r="27" spans="7:10">
      <c r="G27" s="15" t="s">
        <v>113</v>
      </c>
      <c r="H27" s="15" t="s">
        <v>114</v>
      </c>
      <c r="I27" s="15" t="s">
        <v>95</v>
      </c>
      <c r="J27" t="str">
        <f t="shared" si="0"/>
        <v>	('025', '20260619', 'アトランタ'), </v>
      </c>
    </row>
    <row r="28" spans="7:10">
      <c r="G28" s="15" t="s">
        <v>115</v>
      </c>
      <c r="H28" s="15" t="s">
        <v>114</v>
      </c>
      <c r="I28" s="15" t="s">
        <v>65</v>
      </c>
      <c r="J28" t="str">
        <f t="shared" si="0"/>
        <v>	('026', '20260619', 'ロサンゼルス'), </v>
      </c>
    </row>
    <row r="29" spans="7:10">
      <c r="G29" s="15" t="s">
        <v>116</v>
      </c>
      <c r="H29" s="15" t="s">
        <v>114</v>
      </c>
      <c r="I29" s="15" t="s">
        <v>81</v>
      </c>
      <c r="J29" t="str">
        <f t="shared" si="0"/>
        <v>	('027', '20260619', 'バンクーバー'), </v>
      </c>
    </row>
    <row r="30" spans="7:10">
      <c r="G30" s="15" t="s">
        <v>117</v>
      </c>
      <c r="H30" s="15" t="s">
        <v>114</v>
      </c>
      <c r="I30" s="15" t="s">
        <v>60</v>
      </c>
      <c r="J30" t="str">
        <f t="shared" si="0"/>
        <v>	('028', '20260619', 'グアダラハラ'), </v>
      </c>
    </row>
    <row r="31" spans="7:10">
      <c r="G31" s="15" t="s">
        <v>118</v>
      </c>
      <c r="H31" s="15" t="s">
        <v>119</v>
      </c>
      <c r="I31" s="15" t="s">
        <v>97</v>
      </c>
      <c r="J31" t="str">
        <f t="shared" si="0"/>
        <v>	('029', '20260620', 'シアトル'), </v>
      </c>
    </row>
    <row r="32" spans="7:10">
      <c r="G32" s="15" t="s">
        <v>120</v>
      </c>
      <c r="H32" s="15" t="s">
        <v>119</v>
      </c>
      <c r="I32" s="15" t="s">
        <v>78</v>
      </c>
      <c r="J32" t="str">
        <f t="shared" si="0"/>
        <v>	('030', '20260620', 'ボストン'), </v>
      </c>
    </row>
    <row r="33" spans="7:10">
      <c r="G33" s="15" t="s">
        <v>121</v>
      </c>
      <c r="H33" s="15" t="s">
        <v>119</v>
      </c>
      <c r="I33" s="15" t="s">
        <v>89</v>
      </c>
      <c r="J33" t="str">
        <f t="shared" si="0"/>
        <v>	('031', '20260620', 'フィラデルフィア'), </v>
      </c>
    </row>
    <row r="34" spans="7:10">
      <c r="G34" s="15" t="s">
        <v>122</v>
      </c>
      <c r="H34" s="15" t="s">
        <v>119</v>
      </c>
      <c r="I34" s="15" t="s">
        <v>71</v>
      </c>
      <c r="J34" t="str">
        <f t="shared" si="0"/>
        <v>	('032', '20260620', 'サンフランシスコ・ベイエリア'), </v>
      </c>
    </row>
    <row r="35" spans="7:10">
      <c r="G35" s="15" t="s">
        <v>123</v>
      </c>
      <c r="H35" s="15" t="s">
        <v>124</v>
      </c>
      <c r="I35" s="15" t="s">
        <v>84</v>
      </c>
      <c r="J35" t="str">
        <f t="shared" si="0"/>
        <v>	('033', '202606210200', 'ヒューストン'), </v>
      </c>
    </row>
    <row r="36" spans="7:10">
      <c r="G36" s="15" t="s">
        <v>125</v>
      </c>
      <c r="H36" s="15" t="s">
        <v>126</v>
      </c>
      <c r="I36" s="15" t="s">
        <v>63</v>
      </c>
      <c r="J36" t="str">
        <f t="shared" si="0"/>
        <v>	('034', '20260621', 'トロント'), </v>
      </c>
    </row>
    <row r="37" spans="7:10">
      <c r="G37" s="15" t="s">
        <v>127</v>
      </c>
      <c r="H37" s="15" t="s">
        <v>126</v>
      </c>
      <c r="I37" s="15" t="s">
        <v>105</v>
      </c>
      <c r="J37" t="str">
        <f t="shared" si="0"/>
        <v>	('035', '20260621', 'カンザスシティ'), </v>
      </c>
    </row>
    <row r="38" spans="7:10">
      <c r="G38" s="15" t="s">
        <v>128</v>
      </c>
      <c r="H38" s="15" t="s">
        <v>129</v>
      </c>
      <c r="I38" s="15" t="s">
        <v>92</v>
      </c>
      <c r="J38" t="str">
        <f t="shared" si="0"/>
        <v>	('036', '202606211300', 'モンテレイ'), </v>
      </c>
    </row>
    <row r="39" spans="7:10">
      <c r="G39" s="15" t="s">
        <v>130</v>
      </c>
      <c r="H39" s="15" t="s">
        <v>131</v>
      </c>
      <c r="I39" s="15" t="s">
        <v>95</v>
      </c>
      <c r="J39" t="str">
        <f t="shared" si="0"/>
        <v>	('037', '20260622', 'アトランタ'), </v>
      </c>
    </row>
    <row r="40" spans="7:10">
      <c r="G40" s="15" t="s">
        <v>132</v>
      </c>
      <c r="H40" s="15" t="s">
        <v>131</v>
      </c>
      <c r="I40" s="15" t="s">
        <v>65</v>
      </c>
      <c r="J40" t="str">
        <f t="shared" si="0"/>
        <v>	('038', '20260622', 'ロサンゼルス'), </v>
      </c>
    </row>
    <row r="41" spans="7:10">
      <c r="G41" s="15" t="s">
        <v>133</v>
      </c>
      <c r="H41" s="15" t="s">
        <v>131</v>
      </c>
      <c r="I41" s="15" t="s">
        <v>99</v>
      </c>
      <c r="J41" t="str">
        <f t="shared" si="0"/>
        <v>	('039', '20260622', 'マイアミ'), </v>
      </c>
    </row>
    <row r="42" spans="7:10">
      <c r="G42" s="15" t="s">
        <v>134</v>
      </c>
      <c r="H42" s="15" t="s">
        <v>131</v>
      </c>
      <c r="I42" s="15" t="s">
        <v>81</v>
      </c>
      <c r="J42" t="str">
        <f t="shared" si="0"/>
        <v>	('040', '20260622', 'バンクーバー'), </v>
      </c>
    </row>
    <row r="43" spans="7:10">
      <c r="G43" s="15" t="s">
        <v>135</v>
      </c>
      <c r="H43" s="15" t="s">
        <v>136</v>
      </c>
      <c r="I43" s="15" t="s">
        <v>87</v>
      </c>
      <c r="J43" t="str">
        <f t="shared" si="0"/>
        <v>	('041', '20260623', 'ダラス'), </v>
      </c>
    </row>
    <row r="44" spans="7:10">
      <c r="G44" s="15" t="s">
        <v>137</v>
      </c>
      <c r="H44" s="15" t="s">
        <v>136</v>
      </c>
      <c r="I44" s="15" t="s">
        <v>89</v>
      </c>
      <c r="J44" t="str">
        <f t="shared" si="0"/>
        <v>	('042', '20260623', 'フィラデルフィア'), </v>
      </c>
    </row>
    <row r="45" spans="7:10">
      <c r="G45" s="15" t="s">
        <v>138</v>
      </c>
      <c r="H45" s="15" t="s">
        <v>136</v>
      </c>
      <c r="I45" s="15" t="s">
        <v>75</v>
      </c>
      <c r="J45" t="str">
        <f t="shared" si="0"/>
        <v>	('043', '20260623', 'ニュー・ジャージー'), </v>
      </c>
    </row>
    <row r="46" spans="7:10">
      <c r="G46" s="15" t="s">
        <v>139</v>
      </c>
      <c r="H46" s="15" t="s">
        <v>136</v>
      </c>
      <c r="I46" s="15" t="s">
        <v>71</v>
      </c>
      <c r="J46" t="str">
        <f t="shared" si="0"/>
        <v>	('044', '20260623', 'サンフランシスコ・ベイエリア'), </v>
      </c>
    </row>
    <row r="47" spans="7:10">
      <c r="G47" s="15" t="s">
        <v>140</v>
      </c>
      <c r="H47" s="15"/>
      <c r="I47" s="15"/>
      <c r="J47" t="str">
        <f t="shared" si="0"/>
        <v>	('045', '', ''), </v>
      </c>
    </row>
    <row r="48" spans="7:10">
      <c r="G48" s="15" t="s">
        <v>141</v>
      </c>
      <c r="H48" s="15"/>
      <c r="I48" s="15"/>
      <c r="J48" t="str">
        <f t="shared" si="0"/>
        <v>	('046', '', ''), </v>
      </c>
    </row>
    <row r="49" spans="7:10">
      <c r="G49" s="15" t="s">
        <v>142</v>
      </c>
      <c r="H49" s="15"/>
      <c r="I49" s="15"/>
      <c r="J49" t="str">
        <f t="shared" si="0"/>
        <v>	('047', '', ''), </v>
      </c>
    </row>
    <row r="50" spans="7:10">
      <c r="G50" s="15" t="s">
        <v>143</v>
      </c>
      <c r="H50" s="15"/>
      <c r="I50" s="15"/>
      <c r="J50" t="str">
        <f t="shared" si="0"/>
        <v>	('048', '', ''), </v>
      </c>
    </row>
    <row r="51" spans="7:10">
      <c r="G51" s="15" t="s">
        <v>144</v>
      </c>
      <c r="H51" s="15"/>
      <c r="I51" s="15"/>
      <c r="J51" t="str">
        <f t="shared" si="0"/>
        <v>	('049', '', ''), </v>
      </c>
    </row>
    <row r="52" spans="7:10">
      <c r="G52" s="15" t="s">
        <v>145</v>
      </c>
      <c r="H52" s="15"/>
      <c r="I52" s="15"/>
      <c r="J52" t="str">
        <f t="shared" si="0"/>
        <v>	('050', '', ''), </v>
      </c>
    </row>
    <row r="53" spans="7:10">
      <c r="G53" s="15" t="s">
        <v>146</v>
      </c>
      <c r="H53" s="15"/>
      <c r="I53" s="15"/>
      <c r="J53" t="str">
        <f t="shared" si="0"/>
        <v>	('051', '', ''), </v>
      </c>
    </row>
    <row r="54" spans="7:10">
      <c r="G54" s="15" t="s">
        <v>147</v>
      </c>
      <c r="H54" s="15"/>
      <c r="I54" s="15"/>
      <c r="J54" t="str">
        <f t="shared" si="0"/>
        <v>	('052', '', ''), </v>
      </c>
    </row>
    <row r="55" spans="7:10">
      <c r="G55" s="15" t="s">
        <v>148</v>
      </c>
      <c r="H55" s="15"/>
      <c r="I55" s="15"/>
      <c r="J55" t="str">
        <f t="shared" si="0"/>
        <v>	('053', '', ''), </v>
      </c>
    </row>
    <row r="56" spans="7:10">
      <c r="G56" s="15" t="s">
        <v>149</v>
      </c>
      <c r="H56" s="15"/>
      <c r="I56" s="15"/>
      <c r="J56" t="str">
        <f t="shared" si="0"/>
        <v>	('054', '', ''), </v>
      </c>
    </row>
    <row r="57" spans="7:10">
      <c r="G57" s="15" t="s">
        <v>150</v>
      </c>
      <c r="H57" s="15"/>
      <c r="I57" s="15"/>
      <c r="J57" t="str">
        <f t="shared" si="0"/>
        <v>	('055', '', ''), </v>
      </c>
    </row>
    <row r="58" spans="7:10">
      <c r="G58" s="15" t="s">
        <v>151</v>
      </c>
      <c r="H58" s="15"/>
      <c r="I58" s="15"/>
      <c r="J58" t="str">
        <f t="shared" si="0"/>
        <v>	('056', '', ''), </v>
      </c>
    </row>
    <row r="59" spans="7:10">
      <c r="G59" s="15" t="s">
        <v>152</v>
      </c>
      <c r="H59" s="15"/>
      <c r="I59" s="15"/>
      <c r="J59" t="str">
        <f t="shared" si="0"/>
        <v>	('057', '', ''), </v>
      </c>
    </row>
    <row r="60" spans="7:10">
      <c r="G60" s="15" t="s">
        <v>153</v>
      </c>
      <c r="H60" s="15"/>
      <c r="I60" s="15"/>
      <c r="J60" t="str">
        <f t="shared" si="0"/>
        <v>	('058', '', ''), </v>
      </c>
    </row>
    <row r="61" spans="7:10">
      <c r="G61" s="15" t="s">
        <v>154</v>
      </c>
      <c r="H61" s="15"/>
      <c r="I61" s="15"/>
      <c r="J61" t="str">
        <f t="shared" si="0"/>
        <v>	('059', '', ''), </v>
      </c>
    </row>
    <row r="62" spans="7:10">
      <c r="G62" s="15" t="s">
        <v>155</v>
      </c>
      <c r="H62" s="15"/>
      <c r="I62" s="15"/>
      <c r="J62" t="str">
        <f t="shared" si="0"/>
        <v>	('060', '', ''), </v>
      </c>
    </row>
    <row r="63" spans="7:10">
      <c r="G63" s="15" t="s">
        <v>156</v>
      </c>
      <c r="H63" s="15"/>
      <c r="I63" s="15"/>
      <c r="J63" t="str">
        <f t="shared" si="0"/>
        <v>	('061', '', ''), </v>
      </c>
    </row>
    <row r="64" spans="7:10">
      <c r="G64" s="15" t="s">
        <v>157</v>
      </c>
      <c r="H64" s="15"/>
      <c r="I64" s="15"/>
      <c r="J64" t="str">
        <f t="shared" si="0"/>
        <v>	('062', '', ''), </v>
      </c>
    </row>
    <row r="65" spans="7:10">
      <c r="G65" s="15" t="s">
        <v>158</v>
      </c>
      <c r="H65" s="15"/>
      <c r="I65" s="15"/>
      <c r="J65" t="str">
        <f t="shared" si="0"/>
        <v>	('063', '', ''), </v>
      </c>
    </row>
    <row r="66" spans="7:10">
      <c r="G66" s="15" t="s">
        <v>159</v>
      </c>
      <c r="H66" s="15"/>
      <c r="I66" s="15"/>
      <c r="J66" t="str">
        <f t="shared" si="0"/>
        <v>	('064', '', ''), </v>
      </c>
    </row>
    <row r="67" spans="7:10">
      <c r="G67" s="15" t="s">
        <v>160</v>
      </c>
      <c r="H67" s="15"/>
      <c r="I67" s="15"/>
      <c r="J67" t="str">
        <f t="shared" ref="J67:J74" si="2">CHAR(9)&amp;"('"&amp;G67&amp;"', '"&amp;H67&amp;"', '"&amp;I67&amp;"'), "</f>
        <v>	('065', '', ''), </v>
      </c>
    </row>
    <row r="68" spans="7:10">
      <c r="G68" s="15" t="s">
        <v>161</v>
      </c>
      <c r="H68" s="15"/>
      <c r="I68" s="15"/>
      <c r="J68" t="str">
        <f t="shared" si="2"/>
        <v>	('066', '', ''), </v>
      </c>
    </row>
    <row r="69" spans="7:10">
      <c r="G69" s="15" t="s">
        <v>162</v>
      </c>
      <c r="H69" s="15"/>
      <c r="I69" s="15"/>
      <c r="J69" t="str">
        <f t="shared" si="2"/>
        <v>	('067', '', ''), </v>
      </c>
    </row>
    <row r="70" spans="7:10">
      <c r="G70" s="15" t="s">
        <v>163</v>
      </c>
      <c r="H70" s="15"/>
      <c r="I70" s="15"/>
      <c r="J70" t="str">
        <f t="shared" si="2"/>
        <v>	('068', '', ''), </v>
      </c>
    </row>
    <row r="71" spans="7:10">
      <c r="G71" s="15" t="s">
        <v>164</v>
      </c>
      <c r="H71" s="15"/>
      <c r="I71" s="15"/>
      <c r="J71" t="str">
        <f t="shared" si="2"/>
        <v>	('069', '', ''), </v>
      </c>
    </row>
    <row r="72" spans="7:10">
      <c r="G72" s="15" t="s">
        <v>165</v>
      </c>
      <c r="H72" s="15"/>
      <c r="I72" s="15"/>
      <c r="J72" t="str">
        <f t="shared" si="2"/>
        <v>	('070', '', ''), </v>
      </c>
    </row>
    <row r="73" spans="7:10">
      <c r="G73" s="15" t="s">
        <v>166</v>
      </c>
      <c r="H73" s="15"/>
      <c r="I73" s="15"/>
      <c r="J73" t="str">
        <f t="shared" si="2"/>
        <v>	('071', '', ''), </v>
      </c>
    </row>
    <row r="74" spans="7:10">
      <c r="G74" s="15" t="s">
        <v>167</v>
      </c>
      <c r="H74" s="15"/>
      <c r="I74" s="15"/>
      <c r="J74" t="str">
        <f>CHAR(9)&amp;"('"&amp;G74&amp;"', '"&amp;H74&amp;"', '"&amp;I74&amp;"')"</f>
        <v>	('072', '', '')</v>
      </c>
    </row>
    <row r="75" spans="10:10">
      <c r="J75" t="s">
        <v>168</v>
      </c>
    </row>
  </sheetData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47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77777777777778" customWidth="1"/>
    <col min="8" max="8" width="7.88888888888889" customWidth="1"/>
    <col min="9" max="9" width="5.55555555555556" customWidth="1"/>
    <col min="10" max="10" width="13.3333333333333" customWidth="1"/>
    <col min="11" max="16383" width="3.77777777777778" customWidth="1"/>
  </cols>
  <sheetData>
    <row r="1" spans="7:10">
      <c r="G1" t="s">
        <v>51</v>
      </c>
      <c r="H1" t="s">
        <v>51</v>
      </c>
      <c r="I1" t="s">
        <v>169</v>
      </c>
      <c r="J1" t="s">
        <v>169</v>
      </c>
    </row>
    <row r="2" spans="2:11">
      <c r="B2" s="1" t="s">
        <v>31</v>
      </c>
      <c r="C2" s="1"/>
      <c r="D2" s="1"/>
      <c r="E2" s="2" t="s">
        <v>32</v>
      </c>
      <c r="G2" s="7" t="s">
        <v>52</v>
      </c>
      <c r="H2" s="7" t="s">
        <v>170</v>
      </c>
      <c r="I2" s="7" t="s">
        <v>171</v>
      </c>
      <c r="J2" s="7" t="s">
        <v>172</v>
      </c>
      <c r="K2" t="str">
        <f>"INSERT INTO "&amp;B3&amp;" ("&amp;F8&amp;F9&amp;F10&amp;F11&amp;") VALUES "</f>
        <v>INSERT INTO MATCH_TEAM (match_id, team_id, score, conduct_score) VALUES </v>
      </c>
    </row>
    <row r="3" spans="2:20">
      <c r="B3" s="3" t="s">
        <v>37</v>
      </c>
      <c r="C3" s="3"/>
      <c r="D3" s="3"/>
      <c r="E3" s="4" t="s">
        <v>35</v>
      </c>
      <c r="G3" s="12" t="s">
        <v>55</v>
      </c>
      <c r="H3" s="12"/>
      <c r="I3" s="13"/>
      <c r="J3" s="13"/>
      <c r="K3" t="str">
        <f t="shared" ref="K3:K66" si="0">CHAR(9)&amp;"('"&amp;G3&amp;"', '"&amp;H3&amp;"', "&amp;I3&amp;", "&amp;J3&amp;"), "</f>
        <v>	('001', '', , ), </v>
      </c>
      <c r="T3" t="s">
        <v>173</v>
      </c>
    </row>
    <row r="4" spans="2:21">
      <c r="B4" s="1" t="s">
        <v>33</v>
      </c>
      <c r="C4" s="1"/>
      <c r="D4" s="1"/>
      <c r="E4" s="1"/>
      <c r="G4" s="12" t="s">
        <v>55</v>
      </c>
      <c r="H4" s="12"/>
      <c r="I4" s="13"/>
      <c r="J4" s="13"/>
      <c r="K4" t="str">
        <f t="shared" si="0"/>
        <v>	('001', '', , ), </v>
      </c>
      <c r="U4" t="s">
        <v>174</v>
      </c>
    </row>
    <row r="5" spans="2:21">
      <c r="B5" s="3" t="s">
        <v>38</v>
      </c>
      <c r="C5" s="3"/>
      <c r="D5" s="3"/>
      <c r="E5" s="3"/>
      <c r="G5" s="12" t="s">
        <v>58</v>
      </c>
      <c r="H5" s="12"/>
      <c r="I5" s="13"/>
      <c r="J5" s="13"/>
      <c r="K5" t="str">
        <f t="shared" si="0"/>
        <v>	('002', '', , ), </v>
      </c>
      <c r="U5" t="s">
        <v>175</v>
      </c>
    </row>
    <row r="6" spans="7:21">
      <c r="G6" s="12" t="s">
        <v>58</v>
      </c>
      <c r="H6" s="12"/>
      <c r="I6" s="13"/>
      <c r="J6" s="13"/>
      <c r="K6" t="str">
        <f t="shared" si="0"/>
        <v>	('002', '', , ), </v>
      </c>
      <c r="U6" t="s">
        <v>176</v>
      </c>
    </row>
    <row r="7" spans="2:21">
      <c r="B7" s="5" t="s">
        <v>66</v>
      </c>
      <c r="C7" s="5" t="s">
        <v>67</v>
      </c>
      <c r="D7" s="5" t="s">
        <v>68</v>
      </c>
      <c r="E7" s="5" t="s">
        <v>33</v>
      </c>
      <c r="G7" s="12" t="s">
        <v>61</v>
      </c>
      <c r="H7" s="12"/>
      <c r="I7" s="13"/>
      <c r="J7" s="13"/>
      <c r="K7" t="str">
        <f t="shared" si="0"/>
        <v>	('003', '', , ), </v>
      </c>
      <c r="U7" t="s">
        <v>177</v>
      </c>
    </row>
    <row r="8" spans="2:21">
      <c r="B8" s="6" t="s">
        <v>52</v>
      </c>
      <c r="C8" s="4" t="s">
        <v>72</v>
      </c>
      <c r="D8" s="4" t="s">
        <v>72</v>
      </c>
      <c r="E8" s="6" t="s">
        <v>73</v>
      </c>
      <c r="F8" t="str">
        <f t="shared" ref="F8:F10" si="1">B8&amp;", "</f>
        <v>match_id, </v>
      </c>
      <c r="G8" s="12" t="s">
        <v>61</v>
      </c>
      <c r="H8" s="12"/>
      <c r="I8" s="13"/>
      <c r="J8" s="13"/>
      <c r="K8" t="str">
        <f t="shared" si="0"/>
        <v>	('003', '', , ), </v>
      </c>
      <c r="U8" t="s">
        <v>178</v>
      </c>
    </row>
    <row r="9" spans="2:11">
      <c r="B9" s="6" t="s">
        <v>170</v>
      </c>
      <c r="C9" s="4" t="s">
        <v>72</v>
      </c>
      <c r="D9" s="4" t="s">
        <v>72</v>
      </c>
      <c r="E9" s="6" t="s">
        <v>179</v>
      </c>
      <c r="F9" t="str">
        <f t="shared" si="1"/>
        <v>team_id, </v>
      </c>
      <c r="G9" s="12" t="s">
        <v>64</v>
      </c>
      <c r="H9" s="12"/>
      <c r="I9" s="13"/>
      <c r="J9" s="13"/>
      <c r="K9" t="str">
        <f t="shared" si="0"/>
        <v>	('004', '', , ), </v>
      </c>
    </row>
    <row r="10" spans="2:11">
      <c r="B10" s="6" t="s">
        <v>171</v>
      </c>
      <c r="C10" s="4"/>
      <c r="D10" s="4"/>
      <c r="E10" s="6" t="s">
        <v>180</v>
      </c>
      <c r="F10" t="str">
        <f t="shared" si="1"/>
        <v>score, </v>
      </c>
      <c r="G10" s="12" t="s">
        <v>64</v>
      </c>
      <c r="H10" s="12"/>
      <c r="I10" s="13"/>
      <c r="J10" s="13"/>
      <c r="K10" t="str">
        <f t="shared" si="0"/>
        <v>	('004', '', , ), </v>
      </c>
    </row>
    <row r="11" spans="2:11">
      <c r="B11" s="6" t="s">
        <v>172</v>
      </c>
      <c r="C11" s="4"/>
      <c r="D11" s="4"/>
      <c r="E11" s="6" t="s">
        <v>173</v>
      </c>
      <c r="F11" t="str">
        <f>B11</f>
        <v>conduct_score</v>
      </c>
      <c r="G11" s="12" t="s">
        <v>69</v>
      </c>
      <c r="H11" s="12"/>
      <c r="I11" s="13"/>
      <c r="J11" s="13"/>
      <c r="K11" t="str">
        <f t="shared" si="0"/>
        <v>	('005', '', , ), </v>
      </c>
    </row>
    <row r="12" spans="2:11">
      <c r="B12" s="6"/>
      <c r="C12" s="4"/>
      <c r="D12" s="4"/>
      <c r="E12" s="6"/>
      <c r="G12" s="12" t="s">
        <v>69</v>
      </c>
      <c r="H12" s="12"/>
      <c r="I12" s="13"/>
      <c r="J12" s="13"/>
      <c r="K12" t="str">
        <f t="shared" si="0"/>
        <v>	('005', '', , ), </v>
      </c>
    </row>
    <row r="13" spans="7:11">
      <c r="G13" s="12" t="s">
        <v>74</v>
      </c>
      <c r="H13" s="12"/>
      <c r="I13" s="13"/>
      <c r="J13" s="13"/>
      <c r="K13" t="str">
        <f t="shared" si="0"/>
        <v>	('006', '', , ), </v>
      </c>
    </row>
    <row r="14" spans="2:11">
      <c r="B14" t="str">
        <f>"DROP TABLE "&amp;B3&amp;" ;"</f>
        <v>DROP TABLE MATCH_TEAM ;</v>
      </c>
      <c r="G14" s="12" t="s">
        <v>74</v>
      </c>
      <c r="H14" s="12"/>
      <c r="I14" s="13"/>
      <c r="J14" s="13"/>
      <c r="K14" t="str">
        <f t="shared" si="0"/>
        <v>	('006', '', , ), </v>
      </c>
    </row>
    <row r="15" spans="7:11">
      <c r="G15" s="12" t="s">
        <v>77</v>
      </c>
      <c r="H15" s="12"/>
      <c r="I15" s="13"/>
      <c r="J15" s="13"/>
      <c r="K15" t="str">
        <f t="shared" si="0"/>
        <v>	('007', '', , ), </v>
      </c>
    </row>
    <row r="16" spans="2:11">
      <c r="B16" t="str">
        <f>"CREATE TABLE "&amp;B3&amp;"("</f>
        <v>CREATE TABLE MATCH_TEAM(</v>
      </c>
      <c r="G16" s="12" t="s">
        <v>77</v>
      </c>
      <c r="H16" s="12"/>
      <c r="I16" s="13"/>
      <c r="J16" s="13"/>
      <c r="K16" t="str">
        <f t="shared" si="0"/>
        <v>	('007', '', , ), </v>
      </c>
    </row>
    <row r="17" spans="2:11">
      <c r="B17" t="str">
        <f t="shared" ref="B17:B20" si="2">CHAR(9)&amp;F8</f>
        <v>	match_id, </v>
      </c>
      <c r="G17" s="12" t="s">
        <v>80</v>
      </c>
      <c r="H17" s="12"/>
      <c r="I17" s="13"/>
      <c r="J17" s="13"/>
      <c r="K17" t="str">
        <f t="shared" si="0"/>
        <v>	('008', '', , ), </v>
      </c>
    </row>
    <row r="18" spans="2:11">
      <c r="B18" t="str">
        <f t="shared" si="2"/>
        <v>	team_id, </v>
      </c>
      <c r="G18" s="12" t="s">
        <v>80</v>
      </c>
      <c r="H18" s="12"/>
      <c r="I18" s="13"/>
      <c r="J18" s="13"/>
      <c r="K18" t="str">
        <f t="shared" si="0"/>
        <v>	('008', '', , ), </v>
      </c>
    </row>
    <row r="19" spans="2:11">
      <c r="B19" t="str">
        <f t="shared" si="2"/>
        <v>	score, </v>
      </c>
      <c r="G19" s="12" t="s">
        <v>82</v>
      </c>
      <c r="H19" s="12"/>
      <c r="I19" s="13"/>
      <c r="J19" s="13"/>
      <c r="K19" t="str">
        <f t="shared" si="0"/>
        <v>	('009', '', , ), </v>
      </c>
    </row>
    <row r="20" spans="2:11">
      <c r="B20" t="str">
        <f t="shared" si="2"/>
        <v>	conduct_score</v>
      </c>
      <c r="G20" s="12" t="s">
        <v>82</v>
      </c>
      <c r="H20" s="12"/>
      <c r="I20" s="13"/>
      <c r="J20" s="13"/>
      <c r="K20" t="str">
        <f t="shared" si="0"/>
        <v>	('009', '', , ), </v>
      </c>
    </row>
    <row r="21" spans="2:11">
      <c r="B21" t="str">
        <f>");"</f>
        <v>);</v>
      </c>
      <c r="G21" s="12" t="s">
        <v>85</v>
      </c>
      <c r="H21" s="12" t="s">
        <v>181</v>
      </c>
      <c r="I21" s="13">
        <v>2</v>
      </c>
      <c r="J21" s="13">
        <v>-3</v>
      </c>
      <c r="K21" t="str">
        <f t="shared" si="0"/>
        <v>	('010', 'NED', 2, -3), </v>
      </c>
    </row>
    <row r="22" spans="7:11">
      <c r="G22" s="12" t="s">
        <v>85</v>
      </c>
      <c r="H22" s="12" t="s">
        <v>182</v>
      </c>
      <c r="I22" s="13">
        <v>2</v>
      </c>
      <c r="J22" s="13">
        <v>0</v>
      </c>
      <c r="K22" t="str">
        <f t="shared" si="0"/>
        <v>	('010', 'JPN', 2, 0), </v>
      </c>
    </row>
    <row r="23" spans="2:11">
      <c r="B23" t="str">
        <f>"CREATE INDEX "&amp;B3&amp;"_IDX ON "&amp;B3&amp;" ("</f>
        <v>CREATE INDEX MATCH_TEAM_IDX ON MATCH_TEAM (</v>
      </c>
      <c r="G23" s="12" t="s">
        <v>88</v>
      </c>
      <c r="H23" s="12"/>
      <c r="I23" s="13"/>
      <c r="J23" s="13"/>
      <c r="K23" t="str">
        <f t="shared" si="0"/>
        <v>	('011', '', , ), </v>
      </c>
    </row>
    <row r="24" spans="2:11">
      <c r="B24" t="str">
        <f>CHAR(9)&amp;B8</f>
        <v>	match_id</v>
      </c>
      <c r="G24" s="12" t="s">
        <v>88</v>
      </c>
      <c r="H24" s="12"/>
      <c r="I24" s="13"/>
      <c r="J24" s="13"/>
      <c r="K24" t="str">
        <f t="shared" si="0"/>
        <v>	('011', '', , ), </v>
      </c>
    </row>
    <row r="25" spans="2:11">
      <c r="B25" t="s">
        <v>109</v>
      </c>
      <c r="G25" s="12" t="s">
        <v>90</v>
      </c>
      <c r="H25" s="12" t="s">
        <v>183</v>
      </c>
      <c r="I25" s="13">
        <v>5</v>
      </c>
      <c r="J25" s="13">
        <v>0</v>
      </c>
      <c r="K25" t="str">
        <f t="shared" si="0"/>
        <v>	('012', 'SWE', 5, 0), </v>
      </c>
    </row>
    <row r="26" spans="7:11">
      <c r="G26" s="12" t="s">
        <v>90</v>
      </c>
      <c r="H26" s="12" t="s">
        <v>184</v>
      </c>
      <c r="I26" s="13">
        <v>1</v>
      </c>
      <c r="J26" s="13">
        <v>-1</v>
      </c>
      <c r="K26" t="str">
        <f t="shared" si="0"/>
        <v>	('012', 'TUN', 1, -1), </v>
      </c>
    </row>
    <row r="27" spans="7:11">
      <c r="G27" s="12" t="s">
        <v>93</v>
      </c>
      <c r="H27" s="12"/>
      <c r="I27" s="13"/>
      <c r="J27" s="13"/>
      <c r="K27" t="str">
        <f t="shared" si="0"/>
        <v>	('013', '', , ), </v>
      </c>
    </row>
    <row r="28" spans="7:11">
      <c r="G28" s="12" t="s">
        <v>93</v>
      </c>
      <c r="H28" s="12"/>
      <c r="I28" s="13"/>
      <c r="J28" s="13"/>
      <c r="K28" t="str">
        <f t="shared" si="0"/>
        <v>	('013', '', , ), </v>
      </c>
    </row>
    <row r="29" spans="7:11">
      <c r="G29" s="12" t="s">
        <v>96</v>
      </c>
      <c r="H29" s="12"/>
      <c r="I29" s="13"/>
      <c r="J29" s="13"/>
      <c r="K29" t="str">
        <f t="shared" si="0"/>
        <v>	('014', '', , ), </v>
      </c>
    </row>
    <row r="30" spans="7:11">
      <c r="G30" s="12" t="s">
        <v>96</v>
      </c>
      <c r="H30" s="12"/>
      <c r="I30" s="13"/>
      <c r="J30" s="13"/>
      <c r="K30" t="str">
        <f t="shared" si="0"/>
        <v>	('014', '', , ), </v>
      </c>
    </row>
    <row r="31" spans="7:11">
      <c r="G31" s="12" t="s">
        <v>98</v>
      </c>
      <c r="H31" s="12"/>
      <c r="I31" s="13"/>
      <c r="J31" s="13"/>
      <c r="K31" t="str">
        <f t="shared" si="0"/>
        <v>	('015', '', , ), </v>
      </c>
    </row>
    <row r="32" spans="7:11">
      <c r="G32" s="12" t="s">
        <v>98</v>
      </c>
      <c r="H32" s="12"/>
      <c r="I32" s="13"/>
      <c r="J32" s="13"/>
      <c r="K32" t="str">
        <f t="shared" si="0"/>
        <v>	('015', '', , ), </v>
      </c>
    </row>
    <row r="33" spans="7:11">
      <c r="G33" s="12" t="s">
        <v>100</v>
      </c>
      <c r="H33" s="12"/>
      <c r="I33" s="13"/>
      <c r="J33" s="13"/>
      <c r="K33" t="str">
        <f t="shared" si="0"/>
        <v>	('016', '', , ), </v>
      </c>
    </row>
    <row r="34" spans="7:11">
      <c r="G34" s="12" t="s">
        <v>100</v>
      </c>
      <c r="H34" s="12"/>
      <c r="I34" s="13"/>
      <c r="J34" s="13"/>
      <c r="K34" t="str">
        <f t="shared" si="0"/>
        <v>	('016', '', , ), </v>
      </c>
    </row>
    <row r="35" spans="7:11">
      <c r="G35" s="12" t="s">
        <v>101</v>
      </c>
      <c r="H35" s="12"/>
      <c r="I35" s="13"/>
      <c r="J35" s="13"/>
      <c r="K35" t="str">
        <f t="shared" si="0"/>
        <v>	('017', '', , ), </v>
      </c>
    </row>
    <row r="36" spans="7:11">
      <c r="G36" s="12" t="s">
        <v>101</v>
      </c>
      <c r="H36" s="12"/>
      <c r="I36" s="13"/>
      <c r="J36" s="13"/>
      <c r="K36" t="str">
        <f t="shared" si="0"/>
        <v>	('017', '', , ), </v>
      </c>
    </row>
    <row r="37" spans="7:11">
      <c r="G37" s="12" t="s">
        <v>103</v>
      </c>
      <c r="H37" s="12"/>
      <c r="I37" s="13"/>
      <c r="J37" s="13"/>
      <c r="K37" t="str">
        <f t="shared" si="0"/>
        <v>	('018', '', , ), </v>
      </c>
    </row>
    <row r="38" spans="7:11">
      <c r="G38" s="12" t="s">
        <v>103</v>
      </c>
      <c r="H38" s="12"/>
      <c r="I38" s="13"/>
      <c r="J38" s="13"/>
      <c r="K38" t="str">
        <f t="shared" si="0"/>
        <v>	('018', '', , ), </v>
      </c>
    </row>
    <row r="39" spans="7:11">
      <c r="G39" s="12" t="s">
        <v>104</v>
      </c>
      <c r="H39" s="12"/>
      <c r="I39" s="13"/>
      <c r="J39" s="13"/>
      <c r="K39" t="str">
        <f t="shared" si="0"/>
        <v>	('019', '', , ), </v>
      </c>
    </row>
    <row r="40" spans="7:11">
      <c r="G40" s="12" t="s">
        <v>104</v>
      </c>
      <c r="H40" s="12"/>
      <c r="I40" s="13"/>
      <c r="J40" s="13"/>
      <c r="K40" t="str">
        <f t="shared" si="0"/>
        <v>	('019', '', , ), </v>
      </c>
    </row>
    <row r="41" spans="7:11">
      <c r="G41" s="12" t="s">
        <v>106</v>
      </c>
      <c r="H41" s="12"/>
      <c r="I41" s="13"/>
      <c r="J41" s="13"/>
      <c r="K41" t="str">
        <f t="shared" si="0"/>
        <v>	('020', '', , ), </v>
      </c>
    </row>
    <row r="42" spans="7:11">
      <c r="G42" s="12" t="s">
        <v>106</v>
      </c>
      <c r="H42" s="12"/>
      <c r="I42" s="13"/>
      <c r="J42" s="13"/>
      <c r="K42" t="str">
        <f t="shared" si="0"/>
        <v>	('020', '', , ), </v>
      </c>
    </row>
    <row r="43" spans="7:11">
      <c r="G43" s="12" t="s">
        <v>107</v>
      </c>
      <c r="H43" s="12"/>
      <c r="I43" s="13"/>
      <c r="J43" s="13"/>
      <c r="K43" t="str">
        <f t="shared" si="0"/>
        <v>	('021', '', , ), </v>
      </c>
    </row>
    <row r="44" spans="7:11">
      <c r="G44" s="12" t="s">
        <v>107</v>
      </c>
      <c r="H44" s="12"/>
      <c r="I44" s="13"/>
      <c r="J44" s="13"/>
      <c r="K44" t="str">
        <f t="shared" si="0"/>
        <v>	('021', '', , ), </v>
      </c>
    </row>
    <row r="45" spans="7:11">
      <c r="G45" s="12" t="s">
        <v>110</v>
      </c>
      <c r="H45" s="12"/>
      <c r="I45" s="13"/>
      <c r="J45" s="13"/>
      <c r="K45" t="str">
        <f t="shared" si="0"/>
        <v>	('022', '', , ), </v>
      </c>
    </row>
    <row r="46" spans="7:11">
      <c r="G46" s="12" t="s">
        <v>110</v>
      </c>
      <c r="H46" s="12"/>
      <c r="I46" s="13"/>
      <c r="J46" s="13"/>
      <c r="K46" t="str">
        <f t="shared" si="0"/>
        <v>	('022', '', , ), </v>
      </c>
    </row>
    <row r="47" spans="7:11">
      <c r="G47" s="12" t="s">
        <v>111</v>
      </c>
      <c r="H47" s="12"/>
      <c r="I47" s="13"/>
      <c r="J47" s="13"/>
      <c r="K47" t="str">
        <f t="shared" si="0"/>
        <v>	('023', '', , ), </v>
      </c>
    </row>
    <row r="48" spans="7:11">
      <c r="G48" s="12" t="s">
        <v>111</v>
      </c>
      <c r="H48" s="12"/>
      <c r="I48" s="13"/>
      <c r="J48" s="13"/>
      <c r="K48" t="str">
        <f t="shared" si="0"/>
        <v>	('023', '', , ), </v>
      </c>
    </row>
    <row r="49" spans="7:11">
      <c r="G49" s="12" t="s">
        <v>112</v>
      </c>
      <c r="H49" s="12"/>
      <c r="I49" s="13"/>
      <c r="J49" s="13"/>
      <c r="K49" t="str">
        <f t="shared" si="0"/>
        <v>	('024', '', , ), </v>
      </c>
    </row>
    <row r="50" spans="7:11">
      <c r="G50" s="12" t="s">
        <v>112</v>
      </c>
      <c r="H50" s="12"/>
      <c r="I50" s="13"/>
      <c r="J50" s="13"/>
      <c r="K50" t="str">
        <f t="shared" si="0"/>
        <v>	('024', '', , ), </v>
      </c>
    </row>
    <row r="51" spans="7:11">
      <c r="G51" s="12" t="s">
        <v>113</v>
      </c>
      <c r="H51" s="12"/>
      <c r="I51" s="13"/>
      <c r="J51" s="13"/>
      <c r="K51" t="str">
        <f t="shared" si="0"/>
        <v>	('025', '', , ), </v>
      </c>
    </row>
    <row r="52" spans="7:11">
      <c r="G52" s="12" t="s">
        <v>113</v>
      </c>
      <c r="H52" s="12"/>
      <c r="I52" s="13"/>
      <c r="J52" s="13"/>
      <c r="K52" t="str">
        <f t="shared" si="0"/>
        <v>	('025', '', , ), </v>
      </c>
    </row>
    <row r="53" spans="7:11">
      <c r="G53" s="12" t="s">
        <v>115</v>
      </c>
      <c r="H53" s="12"/>
      <c r="I53" s="13"/>
      <c r="J53" s="13"/>
      <c r="K53" t="str">
        <f t="shared" si="0"/>
        <v>	('026', '', , ), </v>
      </c>
    </row>
    <row r="54" spans="7:11">
      <c r="G54" s="12" t="s">
        <v>115</v>
      </c>
      <c r="H54" s="12"/>
      <c r="I54" s="13"/>
      <c r="J54" s="13"/>
      <c r="K54" t="str">
        <f t="shared" si="0"/>
        <v>	('026', '', , ), </v>
      </c>
    </row>
    <row r="55" spans="7:11">
      <c r="G55" s="12" t="s">
        <v>116</v>
      </c>
      <c r="H55" s="12"/>
      <c r="I55" s="13"/>
      <c r="J55" s="13"/>
      <c r="K55" t="str">
        <f t="shared" si="0"/>
        <v>	('027', '', , ), </v>
      </c>
    </row>
    <row r="56" spans="7:11">
      <c r="G56" s="12" t="s">
        <v>116</v>
      </c>
      <c r="H56" s="12"/>
      <c r="I56" s="13"/>
      <c r="J56" s="13"/>
      <c r="K56" t="str">
        <f t="shared" si="0"/>
        <v>	('027', '', , ), </v>
      </c>
    </row>
    <row r="57" spans="7:11">
      <c r="G57" s="12" t="s">
        <v>117</v>
      </c>
      <c r="H57" s="12"/>
      <c r="I57" s="13"/>
      <c r="J57" s="13"/>
      <c r="K57" t="str">
        <f t="shared" si="0"/>
        <v>	('028', '', , ), </v>
      </c>
    </row>
    <row r="58" spans="7:11">
      <c r="G58" s="12" t="s">
        <v>117</v>
      </c>
      <c r="H58" s="12"/>
      <c r="I58" s="13"/>
      <c r="J58" s="13"/>
      <c r="K58" t="str">
        <f t="shared" si="0"/>
        <v>	('028', '', , ), </v>
      </c>
    </row>
    <row r="59" spans="7:11">
      <c r="G59" s="12" t="s">
        <v>118</v>
      </c>
      <c r="H59" s="12"/>
      <c r="I59" s="13"/>
      <c r="J59" s="13"/>
      <c r="K59" t="str">
        <f t="shared" si="0"/>
        <v>	('029', '', , ), </v>
      </c>
    </row>
    <row r="60" spans="7:11">
      <c r="G60" s="12" t="s">
        <v>118</v>
      </c>
      <c r="H60" s="12"/>
      <c r="I60" s="13"/>
      <c r="J60" s="13"/>
      <c r="K60" t="str">
        <f t="shared" si="0"/>
        <v>	('029', '', , ), </v>
      </c>
    </row>
    <row r="61" spans="7:11">
      <c r="G61" s="12" t="s">
        <v>120</v>
      </c>
      <c r="H61" s="12"/>
      <c r="I61" s="13"/>
      <c r="J61" s="13"/>
      <c r="K61" t="str">
        <f t="shared" si="0"/>
        <v>	('030', '', , ), </v>
      </c>
    </row>
    <row r="62" spans="7:11">
      <c r="G62" s="12" t="s">
        <v>120</v>
      </c>
      <c r="H62" s="12"/>
      <c r="I62" s="13"/>
      <c r="J62" s="13"/>
      <c r="K62" t="str">
        <f t="shared" si="0"/>
        <v>	('030', '', , ), </v>
      </c>
    </row>
    <row r="63" spans="7:11">
      <c r="G63" s="12" t="s">
        <v>121</v>
      </c>
      <c r="H63" s="12"/>
      <c r="I63" s="13"/>
      <c r="J63" s="13"/>
      <c r="K63" t="str">
        <f t="shared" si="0"/>
        <v>	('031', '', , ), </v>
      </c>
    </row>
    <row r="64" spans="7:11">
      <c r="G64" s="12" t="s">
        <v>121</v>
      </c>
      <c r="H64" s="12"/>
      <c r="I64" s="13"/>
      <c r="J64" s="13"/>
      <c r="K64" t="str">
        <f t="shared" si="0"/>
        <v>	('031', '', , ), </v>
      </c>
    </row>
    <row r="65" spans="7:11">
      <c r="G65" s="12" t="s">
        <v>122</v>
      </c>
      <c r="H65" s="12"/>
      <c r="I65" s="13"/>
      <c r="J65" s="13"/>
      <c r="K65" t="str">
        <f t="shared" si="0"/>
        <v>	('032', '', , ), </v>
      </c>
    </row>
    <row r="66" spans="7:11">
      <c r="G66" s="12" t="s">
        <v>122</v>
      </c>
      <c r="H66" s="12"/>
      <c r="I66" s="13"/>
      <c r="J66" s="13"/>
      <c r="K66" t="str">
        <f t="shared" si="0"/>
        <v>	('032', '', , ), </v>
      </c>
    </row>
    <row r="67" spans="7:11">
      <c r="G67" s="12" t="s">
        <v>123</v>
      </c>
      <c r="H67" s="12" t="s">
        <v>181</v>
      </c>
      <c r="I67" s="13">
        <v>5</v>
      </c>
      <c r="J67" s="13">
        <v>0</v>
      </c>
      <c r="K67" t="str">
        <f t="shared" ref="K67:K130" si="3">CHAR(9)&amp;"('"&amp;G67&amp;"', '"&amp;H67&amp;"', "&amp;I67&amp;", "&amp;J67&amp;"), "</f>
        <v>	('033', 'NED', 5, 0), </v>
      </c>
    </row>
    <row r="68" spans="7:11">
      <c r="G68" s="12" t="s">
        <v>123</v>
      </c>
      <c r="H68" s="12" t="s">
        <v>183</v>
      </c>
      <c r="I68" s="13">
        <v>1</v>
      </c>
      <c r="J68" s="13">
        <v>-3</v>
      </c>
      <c r="K68" t="str">
        <f t="shared" si="3"/>
        <v>	('033', 'SWE', 1, -3), </v>
      </c>
    </row>
    <row r="69" spans="7:11">
      <c r="G69" s="12" t="s">
        <v>125</v>
      </c>
      <c r="H69" s="12"/>
      <c r="I69" s="13"/>
      <c r="J69" s="13"/>
      <c r="K69" t="str">
        <f t="shared" si="3"/>
        <v>	('034', '', , ), </v>
      </c>
    </row>
    <row r="70" spans="7:11">
      <c r="G70" s="12" t="s">
        <v>125</v>
      </c>
      <c r="H70" s="12"/>
      <c r="I70" s="13"/>
      <c r="J70" s="13"/>
      <c r="K70" t="str">
        <f t="shared" si="3"/>
        <v>	('034', '', , ), </v>
      </c>
    </row>
    <row r="71" spans="7:11">
      <c r="G71" s="12" t="s">
        <v>127</v>
      </c>
      <c r="H71" s="12"/>
      <c r="I71" s="13"/>
      <c r="J71" s="13"/>
      <c r="K71" t="str">
        <f t="shared" si="3"/>
        <v>	('035', '', , ), </v>
      </c>
    </row>
    <row r="72" spans="7:11">
      <c r="G72" s="12" t="s">
        <v>127</v>
      </c>
      <c r="H72" s="12"/>
      <c r="I72" s="13"/>
      <c r="J72" s="13"/>
      <c r="K72" t="str">
        <f t="shared" si="3"/>
        <v>	('035', '', , ), </v>
      </c>
    </row>
    <row r="73" spans="7:11">
      <c r="G73" s="12" t="s">
        <v>128</v>
      </c>
      <c r="H73" s="12" t="s">
        <v>184</v>
      </c>
      <c r="I73" s="13">
        <v>0</v>
      </c>
      <c r="J73" s="13">
        <v>0</v>
      </c>
      <c r="K73" t="str">
        <f t="shared" si="3"/>
        <v>	('036', 'TUN', 0, 0), </v>
      </c>
    </row>
    <row r="74" spans="7:11">
      <c r="G74" s="12" t="s">
        <v>128</v>
      </c>
      <c r="H74" s="12" t="s">
        <v>182</v>
      </c>
      <c r="I74" s="13">
        <v>4</v>
      </c>
      <c r="J74" s="13">
        <v>0</v>
      </c>
      <c r="K74" t="str">
        <f t="shared" si="3"/>
        <v>	('036', 'JPN', 4, 0), </v>
      </c>
    </row>
    <row r="75" spans="7:11">
      <c r="G75" s="12" t="s">
        <v>130</v>
      </c>
      <c r="H75" s="12"/>
      <c r="I75" s="13"/>
      <c r="J75" s="13"/>
      <c r="K75" t="str">
        <f t="shared" si="3"/>
        <v>	('037', '', , ), </v>
      </c>
    </row>
    <row r="76" spans="7:11">
      <c r="G76" s="12" t="s">
        <v>130</v>
      </c>
      <c r="H76" s="12"/>
      <c r="I76" s="13"/>
      <c r="J76" s="13"/>
      <c r="K76" t="str">
        <f t="shared" si="3"/>
        <v>	('037', '', , ), </v>
      </c>
    </row>
    <row r="77" spans="7:11">
      <c r="G77" s="12" t="s">
        <v>132</v>
      </c>
      <c r="H77" s="12"/>
      <c r="I77" s="13"/>
      <c r="J77" s="13"/>
      <c r="K77" t="str">
        <f t="shared" si="3"/>
        <v>	('038', '', , ), </v>
      </c>
    </row>
    <row r="78" spans="7:11">
      <c r="G78" s="12" t="s">
        <v>132</v>
      </c>
      <c r="H78" s="12"/>
      <c r="I78" s="13"/>
      <c r="J78" s="13"/>
      <c r="K78" t="str">
        <f t="shared" si="3"/>
        <v>	('038', '', , ), </v>
      </c>
    </row>
    <row r="79" spans="7:11">
      <c r="G79" s="12" t="s">
        <v>133</v>
      </c>
      <c r="H79" s="12"/>
      <c r="I79" s="13"/>
      <c r="J79" s="13"/>
      <c r="K79" t="str">
        <f t="shared" si="3"/>
        <v>	('039', '', , ), </v>
      </c>
    </row>
    <row r="80" spans="7:11">
      <c r="G80" s="12" t="s">
        <v>133</v>
      </c>
      <c r="H80" s="12"/>
      <c r="I80" s="13"/>
      <c r="J80" s="13"/>
      <c r="K80" t="str">
        <f t="shared" si="3"/>
        <v>	('039', '', , ), </v>
      </c>
    </row>
    <row r="81" spans="7:11">
      <c r="G81" s="12" t="s">
        <v>134</v>
      </c>
      <c r="H81" s="12"/>
      <c r="I81" s="13"/>
      <c r="J81" s="13"/>
      <c r="K81" t="str">
        <f t="shared" si="3"/>
        <v>	('040', '', , ), </v>
      </c>
    </row>
    <row r="82" spans="7:11">
      <c r="G82" s="12" t="s">
        <v>134</v>
      </c>
      <c r="H82" s="12"/>
      <c r="I82" s="13"/>
      <c r="J82" s="13"/>
      <c r="K82" t="str">
        <f t="shared" si="3"/>
        <v>	('040', '', , ), </v>
      </c>
    </row>
    <row r="83" spans="7:11">
      <c r="G83" s="12" t="s">
        <v>135</v>
      </c>
      <c r="H83" s="12"/>
      <c r="I83" s="13"/>
      <c r="J83" s="13"/>
      <c r="K83" t="str">
        <f t="shared" si="3"/>
        <v>	('041', '', , ), </v>
      </c>
    </row>
    <row r="84" spans="7:11">
      <c r="G84" s="12" t="s">
        <v>135</v>
      </c>
      <c r="H84" s="12"/>
      <c r="I84" s="13"/>
      <c r="J84" s="13"/>
      <c r="K84" t="str">
        <f t="shared" si="3"/>
        <v>	('041', '', , ), </v>
      </c>
    </row>
    <row r="85" spans="7:11">
      <c r="G85" s="12" t="s">
        <v>137</v>
      </c>
      <c r="H85" s="12"/>
      <c r="I85" s="13"/>
      <c r="J85" s="13"/>
      <c r="K85" t="str">
        <f t="shared" si="3"/>
        <v>	('042', '', , ), </v>
      </c>
    </row>
    <row r="86" spans="7:11">
      <c r="G86" s="12" t="s">
        <v>137</v>
      </c>
      <c r="H86" s="12"/>
      <c r="I86" s="13"/>
      <c r="J86" s="13"/>
      <c r="K86" t="str">
        <f t="shared" si="3"/>
        <v>	('042', '', , ), </v>
      </c>
    </row>
    <row r="87" spans="7:11">
      <c r="G87" s="12" t="s">
        <v>138</v>
      </c>
      <c r="H87" s="12"/>
      <c r="I87" s="13"/>
      <c r="J87" s="13"/>
      <c r="K87" t="str">
        <f t="shared" si="3"/>
        <v>	('043', '', , ), </v>
      </c>
    </row>
    <row r="88" spans="7:11">
      <c r="G88" s="12" t="s">
        <v>138</v>
      </c>
      <c r="H88" s="12"/>
      <c r="I88" s="13"/>
      <c r="J88" s="13"/>
      <c r="K88" t="str">
        <f t="shared" si="3"/>
        <v>	('043', '', , ), </v>
      </c>
    </row>
    <row r="89" spans="7:11">
      <c r="G89" s="12" t="s">
        <v>139</v>
      </c>
      <c r="H89" s="12"/>
      <c r="I89" s="13"/>
      <c r="J89" s="13"/>
      <c r="K89" t="str">
        <f t="shared" si="3"/>
        <v>	('044', '', , ), </v>
      </c>
    </row>
    <row r="90" spans="7:11">
      <c r="G90" s="12" t="s">
        <v>139</v>
      </c>
      <c r="H90" s="12"/>
      <c r="I90" s="13"/>
      <c r="J90" s="13"/>
      <c r="K90" t="str">
        <f t="shared" si="3"/>
        <v>	('044', '', , ), </v>
      </c>
    </row>
    <row r="91" spans="7:11">
      <c r="G91" s="12" t="s">
        <v>140</v>
      </c>
      <c r="H91" s="12"/>
      <c r="I91" s="13"/>
      <c r="J91" s="13"/>
      <c r="K91" t="str">
        <f t="shared" si="3"/>
        <v>	('045', '', , ), </v>
      </c>
    </row>
    <row r="92" spans="7:11">
      <c r="G92" s="12" t="s">
        <v>140</v>
      </c>
      <c r="H92" s="12"/>
      <c r="I92" s="13"/>
      <c r="J92" s="13"/>
      <c r="K92" t="str">
        <f t="shared" si="3"/>
        <v>	('045', '', , ), </v>
      </c>
    </row>
    <row r="93" spans="7:11">
      <c r="G93" s="12" t="s">
        <v>141</v>
      </c>
      <c r="H93" s="12"/>
      <c r="I93" s="13"/>
      <c r="J93" s="13"/>
      <c r="K93" t="str">
        <f t="shared" si="3"/>
        <v>	('046', '', , ), </v>
      </c>
    </row>
    <row r="94" spans="7:11">
      <c r="G94" s="12" t="s">
        <v>141</v>
      </c>
      <c r="H94" s="12"/>
      <c r="I94" s="13"/>
      <c r="J94" s="13"/>
      <c r="K94" t="str">
        <f t="shared" si="3"/>
        <v>	('046', '', , ), </v>
      </c>
    </row>
    <row r="95" spans="7:11">
      <c r="G95" s="12" t="s">
        <v>142</v>
      </c>
      <c r="H95" s="12"/>
      <c r="I95" s="13"/>
      <c r="J95" s="13"/>
      <c r="K95" t="str">
        <f t="shared" si="3"/>
        <v>	('047', '', , ), </v>
      </c>
    </row>
    <row r="96" spans="7:11">
      <c r="G96" s="12" t="s">
        <v>142</v>
      </c>
      <c r="H96" s="12"/>
      <c r="I96" s="13"/>
      <c r="J96" s="13"/>
      <c r="K96" t="str">
        <f t="shared" si="3"/>
        <v>	('047', '', , ), </v>
      </c>
    </row>
    <row r="97" spans="7:11">
      <c r="G97" s="12" t="s">
        <v>143</v>
      </c>
      <c r="H97" s="12"/>
      <c r="I97" s="13"/>
      <c r="J97" s="13"/>
      <c r="K97" t="str">
        <f t="shared" si="3"/>
        <v>	('048', '', , ), </v>
      </c>
    </row>
    <row r="98" spans="7:11">
      <c r="G98" s="12" t="s">
        <v>143</v>
      </c>
      <c r="H98" s="12"/>
      <c r="I98" s="13"/>
      <c r="J98" s="13"/>
      <c r="K98" t="str">
        <f t="shared" si="3"/>
        <v>	('048', '', , ), </v>
      </c>
    </row>
    <row r="99" spans="7:11">
      <c r="G99" s="12" t="s">
        <v>144</v>
      </c>
      <c r="H99" s="12"/>
      <c r="I99" s="13"/>
      <c r="J99" s="13"/>
      <c r="K99" t="str">
        <f t="shared" si="3"/>
        <v>	('049', '', , ), </v>
      </c>
    </row>
    <row r="100" spans="7:11">
      <c r="G100" s="12" t="s">
        <v>144</v>
      </c>
      <c r="H100" s="12"/>
      <c r="I100" s="13"/>
      <c r="J100" s="13"/>
      <c r="K100" t="str">
        <f t="shared" si="3"/>
        <v>	('049', '', , ), </v>
      </c>
    </row>
    <row r="101" spans="7:11">
      <c r="G101" s="12" t="s">
        <v>145</v>
      </c>
      <c r="H101" s="12"/>
      <c r="I101" s="13"/>
      <c r="J101" s="13"/>
      <c r="K101" t="str">
        <f t="shared" si="3"/>
        <v>	('050', '', , ), </v>
      </c>
    </row>
    <row r="102" spans="7:11">
      <c r="G102" s="12" t="s">
        <v>145</v>
      </c>
      <c r="H102" s="12"/>
      <c r="I102" s="13"/>
      <c r="J102" s="13"/>
      <c r="K102" t="str">
        <f t="shared" si="3"/>
        <v>	('050', '', , ), </v>
      </c>
    </row>
    <row r="103" spans="7:11">
      <c r="G103" s="12" t="s">
        <v>146</v>
      </c>
      <c r="H103" s="12"/>
      <c r="I103" s="13"/>
      <c r="J103" s="13"/>
      <c r="K103" t="str">
        <f t="shared" si="3"/>
        <v>	('051', '', , ), </v>
      </c>
    </row>
    <row r="104" spans="7:11">
      <c r="G104" s="12" t="s">
        <v>146</v>
      </c>
      <c r="H104" s="12"/>
      <c r="I104" s="13"/>
      <c r="J104" s="13"/>
      <c r="K104" t="str">
        <f t="shared" si="3"/>
        <v>	('051', '', , ), </v>
      </c>
    </row>
    <row r="105" spans="7:11">
      <c r="G105" s="12" t="s">
        <v>147</v>
      </c>
      <c r="H105" s="12"/>
      <c r="I105" s="13"/>
      <c r="J105" s="13"/>
      <c r="K105" t="str">
        <f t="shared" si="3"/>
        <v>	('052', '', , ), </v>
      </c>
    </row>
    <row r="106" spans="7:11">
      <c r="G106" s="12" t="s">
        <v>147</v>
      </c>
      <c r="H106" s="12"/>
      <c r="I106" s="13"/>
      <c r="J106" s="13"/>
      <c r="K106" t="str">
        <f t="shared" si="3"/>
        <v>	('052', '', , ), </v>
      </c>
    </row>
    <row r="107" spans="7:11">
      <c r="G107" s="12" t="s">
        <v>148</v>
      </c>
      <c r="H107" s="12"/>
      <c r="I107" s="13"/>
      <c r="J107" s="13"/>
      <c r="K107" t="str">
        <f t="shared" si="3"/>
        <v>	('053', '', , ), </v>
      </c>
    </row>
    <row r="108" spans="7:11">
      <c r="G108" s="12" t="s">
        <v>148</v>
      </c>
      <c r="H108" s="12"/>
      <c r="I108" s="13"/>
      <c r="J108" s="13"/>
      <c r="K108" t="str">
        <f t="shared" si="3"/>
        <v>	('053', '', , ), </v>
      </c>
    </row>
    <row r="109" spans="7:11">
      <c r="G109" s="12" t="s">
        <v>149</v>
      </c>
      <c r="H109" s="12"/>
      <c r="I109" s="13"/>
      <c r="J109" s="13"/>
      <c r="K109" t="str">
        <f t="shared" si="3"/>
        <v>	('054', '', , ), </v>
      </c>
    </row>
    <row r="110" spans="7:11">
      <c r="G110" s="12" t="s">
        <v>149</v>
      </c>
      <c r="H110" s="12"/>
      <c r="I110" s="13"/>
      <c r="J110" s="13"/>
      <c r="K110" t="str">
        <f t="shared" si="3"/>
        <v>	('054', '', , ), </v>
      </c>
    </row>
    <row r="111" spans="7:11">
      <c r="G111" s="12" t="s">
        <v>150</v>
      </c>
      <c r="H111" s="12"/>
      <c r="I111" s="13"/>
      <c r="J111" s="13"/>
      <c r="K111" t="str">
        <f t="shared" si="3"/>
        <v>	('055', '', , ), </v>
      </c>
    </row>
    <row r="112" spans="7:11">
      <c r="G112" s="12" t="s">
        <v>150</v>
      </c>
      <c r="H112" s="12"/>
      <c r="I112" s="13"/>
      <c r="J112" s="13"/>
      <c r="K112" t="str">
        <f t="shared" si="3"/>
        <v>	('055', '', , ), </v>
      </c>
    </row>
    <row r="113" spans="7:11">
      <c r="G113" s="12" t="s">
        <v>151</v>
      </c>
      <c r="H113" s="12"/>
      <c r="I113" s="13"/>
      <c r="J113" s="13"/>
      <c r="K113" t="str">
        <f t="shared" si="3"/>
        <v>	('056', '', , ), </v>
      </c>
    </row>
    <row r="114" spans="7:11">
      <c r="G114" s="12" t="s">
        <v>151</v>
      </c>
      <c r="H114" s="12"/>
      <c r="I114" s="13"/>
      <c r="J114" s="13"/>
      <c r="K114" t="str">
        <f t="shared" si="3"/>
        <v>	('056', '', , ), </v>
      </c>
    </row>
    <row r="115" spans="7:11">
      <c r="G115" s="12" t="s">
        <v>152</v>
      </c>
      <c r="H115" s="12"/>
      <c r="I115" s="13"/>
      <c r="J115" s="13"/>
      <c r="K115" t="str">
        <f t="shared" si="3"/>
        <v>	('057', '', , ), </v>
      </c>
    </row>
    <row r="116" spans="7:11">
      <c r="G116" s="12" t="s">
        <v>152</v>
      </c>
      <c r="H116" s="12"/>
      <c r="I116" s="13"/>
      <c r="J116" s="13"/>
      <c r="K116" t="str">
        <f t="shared" si="3"/>
        <v>	('057', '', , ), </v>
      </c>
    </row>
    <row r="117" spans="7:11">
      <c r="G117" s="12" t="s">
        <v>153</v>
      </c>
      <c r="H117" s="12"/>
      <c r="I117" s="13"/>
      <c r="J117" s="13"/>
      <c r="K117" t="str">
        <f t="shared" si="3"/>
        <v>	('058', '', , ), </v>
      </c>
    </row>
    <row r="118" spans="7:11">
      <c r="G118" s="12" t="s">
        <v>153</v>
      </c>
      <c r="H118" s="12"/>
      <c r="I118" s="13"/>
      <c r="J118" s="13"/>
      <c r="K118" t="str">
        <f t="shared" si="3"/>
        <v>	('058', '', , ), </v>
      </c>
    </row>
    <row r="119" spans="7:11">
      <c r="G119" s="12" t="s">
        <v>154</v>
      </c>
      <c r="H119" s="12"/>
      <c r="I119" s="13"/>
      <c r="J119" s="13"/>
      <c r="K119" t="str">
        <f t="shared" si="3"/>
        <v>	('059', '', , ), </v>
      </c>
    </row>
    <row r="120" spans="7:11">
      <c r="G120" s="12" t="s">
        <v>154</v>
      </c>
      <c r="H120" s="12"/>
      <c r="I120" s="13"/>
      <c r="J120" s="13"/>
      <c r="K120" t="str">
        <f t="shared" si="3"/>
        <v>	('059', '', , ), </v>
      </c>
    </row>
    <row r="121" spans="7:11">
      <c r="G121" s="12" t="s">
        <v>155</v>
      </c>
      <c r="H121" s="12"/>
      <c r="I121" s="13"/>
      <c r="J121" s="13"/>
      <c r="K121" t="str">
        <f t="shared" si="3"/>
        <v>	('060', '', , ), </v>
      </c>
    </row>
    <row r="122" spans="7:11">
      <c r="G122" s="12" t="s">
        <v>155</v>
      </c>
      <c r="H122" s="12"/>
      <c r="I122" s="13"/>
      <c r="J122" s="13"/>
      <c r="K122" t="str">
        <f t="shared" si="3"/>
        <v>	('060', '', , ), </v>
      </c>
    </row>
    <row r="123" spans="7:11">
      <c r="G123" s="12" t="s">
        <v>156</v>
      </c>
      <c r="H123" s="12"/>
      <c r="I123" s="13"/>
      <c r="J123" s="13"/>
      <c r="K123" t="str">
        <f t="shared" si="3"/>
        <v>	('061', '', , ), </v>
      </c>
    </row>
    <row r="124" spans="7:11">
      <c r="G124" s="12" t="s">
        <v>156</v>
      </c>
      <c r="H124" s="12"/>
      <c r="I124" s="13"/>
      <c r="J124" s="13"/>
      <c r="K124" t="str">
        <f t="shared" si="3"/>
        <v>	('061', '', , ), </v>
      </c>
    </row>
    <row r="125" spans="7:11">
      <c r="G125" s="12" t="s">
        <v>157</v>
      </c>
      <c r="H125" s="12"/>
      <c r="I125" s="13"/>
      <c r="J125" s="13"/>
      <c r="K125" t="str">
        <f t="shared" si="3"/>
        <v>	('062', '', , ), </v>
      </c>
    </row>
    <row r="126" spans="7:11">
      <c r="G126" s="12" t="s">
        <v>157</v>
      </c>
      <c r="H126" s="12"/>
      <c r="I126" s="13"/>
      <c r="J126" s="13"/>
      <c r="K126" t="str">
        <f t="shared" si="3"/>
        <v>	('062', '', , ), </v>
      </c>
    </row>
    <row r="127" spans="7:11">
      <c r="G127" s="12" t="s">
        <v>158</v>
      </c>
      <c r="H127" s="12"/>
      <c r="I127" s="13"/>
      <c r="J127" s="13"/>
      <c r="K127" t="str">
        <f t="shared" si="3"/>
        <v>	('063', '', , ), </v>
      </c>
    </row>
    <row r="128" spans="7:11">
      <c r="G128" s="12" t="s">
        <v>158</v>
      </c>
      <c r="H128" s="12"/>
      <c r="I128" s="13"/>
      <c r="J128" s="13"/>
      <c r="K128" t="str">
        <f t="shared" si="3"/>
        <v>	('063', '', , ), </v>
      </c>
    </row>
    <row r="129" spans="7:11">
      <c r="G129" s="12" t="s">
        <v>159</v>
      </c>
      <c r="H129" s="12"/>
      <c r="I129" s="13"/>
      <c r="J129" s="13"/>
      <c r="K129" t="str">
        <f t="shared" si="3"/>
        <v>	('064', '', , ), </v>
      </c>
    </row>
    <row r="130" spans="7:11">
      <c r="G130" s="12" t="s">
        <v>159</v>
      </c>
      <c r="H130" s="12"/>
      <c r="I130" s="13"/>
      <c r="J130" s="13"/>
      <c r="K130" t="str">
        <f t="shared" si="3"/>
        <v>	('064', '', , ), </v>
      </c>
    </row>
    <row r="131" spans="7:11">
      <c r="G131" s="12" t="s">
        <v>160</v>
      </c>
      <c r="H131" s="12"/>
      <c r="I131" s="13"/>
      <c r="J131" s="13"/>
      <c r="K131" t="str">
        <f t="shared" ref="K131:K146" si="4">CHAR(9)&amp;"('"&amp;G131&amp;"', '"&amp;H131&amp;"', "&amp;I131&amp;", "&amp;J131&amp;"), "</f>
        <v>	('065', '', , ), </v>
      </c>
    </row>
    <row r="132" spans="7:11">
      <c r="G132" s="12" t="s">
        <v>160</v>
      </c>
      <c r="H132" s="12"/>
      <c r="I132" s="13"/>
      <c r="J132" s="13"/>
      <c r="K132" t="str">
        <f t="shared" si="4"/>
        <v>	('065', '', , ), </v>
      </c>
    </row>
    <row r="133" spans="7:11">
      <c r="G133" s="12" t="s">
        <v>161</v>
      </c>
      <c r="H133" s="12"/>
      <c r="I133" s="13"/>
      <c r="J133" s="13"/>
      <c r="K133" t="str">
        <f t="shared" si="4"/>
        <v>	('066', '', , ), </v>
      </c>
    </row>
    <row r="134" spans="7:11">
      <c r="G134" s="12" t="s">
        <v>161</v>
      </c>
      <c r="H134" s="12"/>
      <c r="I134" s="13"/>
      <c r="J134" s="13"/>
      <c r="K134" t="str">
        <f t="shared" si="4"/>
        <v>	('066', '', , ), </v>
      </c>
    </row>
    <row r="135" spans="7:11">
      <c r="G135" s="12" t="s">
        <v>162</v>
      </c>
      <c r="H135" s="12"/>
      <c r="I135" s="13"/>
      <c r="J135" s="13"/>
      <c r="K135" t="str">
        <f t="shared" si="4"/>
        <v>	('067', '', , ), </v>
      </c>
    </row>
    <row r="136" spans="7:11">
      <c r="G136" s="12" t="s">
        <v>162</v>
      </c>
      <c r="H136" s="12"/>
      <c r="I136" s="13"/>
      <c r="J136" s="13"/>
      <c r="K136" t="str">
        <f t="shared" si="4"/>
        <v>	('067', '', , ), </v>
      </c>
    </row>
    <row r="137" spans="7:11">
      <c r="G137" s="12" t="s">
        <v>163</v>
      </c>
      <c r="H137" s="12"/>
      <c r="I137" s="13"/>
      <c r="J137" s="13"/>
      <c r="K137" t="str">
        <f t="shared" si="4"/>
        <v>	('068', '', , ), </v>
      </c>
    </row>
    <row r="138" spans="7:11">
      <c r="G138" s="12" t="s">
        <v>163</v>
      </c>
      <c r="H138" s="12"/>
      <c r="I138" s="13"/>
      <c r="J138" s="13"/>
      <c r="K138" t="str">
        <f t="shared" si="4"/>
        <v>	('068', '', , ), </v>
      </c>
    </row>
    <row r="139" spans="7:11">
      <c r="G139" s="12" t="s">
        <v>164</v>
      </c>
      <c r="H139" s="12"/>
      <c r="I139" s="13"/>
      <c r="J139" s="13"/>
      <c r="K139" t="str">
        <f t="shared" si="4"/>
        <v>	('069', '', , ), </v>
      </c>
    </row>
    <row r="140" spans="7:11">
      <c r="G140" s="12" t="s">
        <v>164</v>
      </c>
      <c r="H140" s="12"/>
      <c r="I140" s="13"/>
      <c r="J140" s="13"/>
      <c r="K140" t="str">
        <f t="shared" si="4"/>
        <v>	('069', '', , ), </v>
      </c>
    </row>
    <row r="141" spans="7:11">
      <c r="G141" s="12" t="s">
        <v>165</v>
      </c>
      <c r="H141" s="12"/>
      <c r="I141" s="13"/>
      <c r="J141" s="13"/>
      <c r="K141" t="str">
        <f t="shared" si="4"/>
        <v>	('070', '', , ), </v>
      </c>
    </row>
    <row r="142" spans="7:11">
      <c r="G142" s="12" t="s">
        <v>165</v>
      </c>
      <c r="H142" s="12"/>
      <c r="I142" s="13"/>
      <c r="J142" s="13"/>
      <c r="K142" t="str">
        <f t="shared" si="4"/>
        <v>	('070', '', , ), </v>
      </c>
    </row>
    <row r="143" spans="7:11">
      <c r="G143" s="12" t="s">
        <v>166</v>
      </c>
      <c r="H143" s="12"/>
      <c r="I143" s="13"/>
      <c r="J143" s="13"/>
      <c r="K143" t="str">
        <f t="shared" si="4"/>
        <v>	('071', '', , ), </v>
      </c>
    </row>
    <row r="144" spans="7:11">
      <c r="G144" s="12" t="s">
        <v>166</v>
      </c>
      <c r="H144" s="12"/>
      <c r="I144" s="13"/>
      <c r="J144" s="13"/>
      <c r="K144" t="str">
        <f t="shared" si="4"/>
        <v>	('071', '', , ), </v>
      </c>
    </row>
    <row r="145" spans="7:11">
      <c r="G145" s="12" t="s">
        <v>167</v>
      </c>
      <c r="H145" s="12"/>
      <c r="I145" s="13"/>
      <c r="J145" s="13"/>
      <c r="K145" t="str">
        <f t="shared" si="4"/>
        <v>	('072', '', , ), </v>
      </c>
    </row>
    <row r="146" spans="7:11">
      <c r="G146" s="12" t="s">
        <v>167</v>
      </c>
      <c r="H146" s="12"/>
      <c r="I146" s="13"/>
      <c r="J146" s="13"/>
      <c r="K146" t="str">
        <f>CHAR(9)&amp;"('"&amp;G146&amp;"', '"&amp;H146&amp;"', "&amp;I146&amp;", "&amp;J146&amp;")"</f>
        <v>	('072', '', , )</v>
      </c>
    </row>
    <row r="147" spans="11:11">
      <c r="K147" t="s">
        <v>168</v>
      </c>
    </row>
  </sheetData>
  <sortState ref="G3:G146">
    <sortCondition ref="G3"/>
  </sortState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23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33333333333333" customWidth="1"/>
    <col min="8" max="8" width="11.6666666666667" customWidth="1"/>
    <col min="9" max="16383" width="3.77777777777778" customWidth="1"/>
  </cols>
  <sheetData>
    <row r="1" spans="7:8">
      <c r="G1" t="s">
        <v>51</v>
      </c>
      <c r="H1" t="s">
        <v>51</v>
      </c>
    </row>
    <row r="2" spans="2:9">
      <c r="B2" s="1" t="s">
        <v>31</v>
      </c>
      <c r="C2" s="1"/>
      <c r="D2" s="1"/>
      <c r="E2" s="2" t="s">
        <v>32</v>
      </c>
      <c r="G2" s="7" t="s">
        <v>185</v>
      </c>
      <c r="H2" s="7" t="s">
        <v>186</v>
      </c>
      <c r="I2" t="str">
        <f>"INSERT INTO "&amp;B3&amp;" ("&amp;F8&amp;F9&amp;") VALUES "</f>
        <v>INSERT INTO GROUPSTAGE (group_id, group_name) VALUES </v>
      </c>
    </row>
    <row r="3" spans="2:9">
      <c r="B3" s="3" t="s">
        <v>39</v>
      </c>
      <c r="C3" s="3"/>
      <c r="D3" s="3"/>
      <c r="E3" s="4" t="s">
        <v>40</v>
      </c>
      <c r="G3" s="9" t="s">
        <v>187</v>
      </c>
      <c r="H3" s="9" t="s">
        <v>188</v>
      </c>
      <c r="I3" t="str">
        <f t="shared" ref="I3:I13" si="0">CHAR(9)&amp;"('"&amp;G3&amp;"', '"&amp;H3&amp;"'), "</f>
        <v>	('01', 'A'), </v>
      </c>
    </row>
    <row r="4" spans="2:9">
      <c r="B4" s="1" t="s">
        <v>33</v>
      </c>
      <c r="C4" s="1"/>
      <c r="D4" s="1"/>
      <c r="E4" s="1"/>
      <c r="G4" s="9" t="s">
        <v>189</v>
      </c>
      <c r="H4" s="9" t="s">
        <v>190</v>
      </c>
      <c r="I4" t="str">
        <f t="shared" si="0"/>
        <v>	('02', 'B'), </v>
      </c>
    </row>
    <row r="5" spans="2:9">
      <c r="B5" s="3" t="s">
        <v>41</v>
      </c>
      <c r="C5" s="3"/>
      <c r="D5" s="3"/>
      <c r="E5" s="3"/>
      <c r="G5" s="9" t="s">
        <v>191</v>
      </c>
      <c r="H5" s="9" t="s">
        <v>192</v>
      </c>
      <c r="I5" t="str">
        <f t="shared" si="0"/>
        <v>	('03', 'C'), </v>
      </c>
    </row>
    <row r="6" spans="7:9">
      <c r="G6" s="9" t="s">
        <v>193</v>
      </c>
      <c r="H6" s="9" t="s">
        <v>194</v>
      </c>
      <c r="I6" t="str">
        <f t="shared" si="0"/>
        <v>	('04', 'D'), </v>
      </c>
    </row>
    <row r="7" spans="2:9">
      <c r="B7" s="5" t="s">
        <v>66</v>
      </c>
      <c r="C7" s="5" t="s">
        <v>67</v>
      </c>
      <c r="D7" s="5" t="s">
        <v>68</v>
      </c>
      <c r="E7" s="5" t="s">
        <v>33</v>
      </c>
      <c r="G7" s="9" t="s">
        <v>195</v>
      </c>
      <c r="H7" s="9" t="s">
        <v>196</v>
      </c>
      <c r="I7" t="str">
        <f t="shared" si="0"/>
        <v>	('05', 'E'), </v>
      </c>
    </row>
    <row r="8" spans="2:9">
      <c r="B8" s="6" t="s">
        <v>185</v>
      </c>
      <c r="C8" s="4" t="s">
        <v>72</v>
      </c>
      <c r="D8" s="4" t="s">
        <v>72</v>
      </c>
      <c r="E8" s="6" t="s">
        <v>197</v>
      </c>
      <c r="F8" t="str">
        <f>B8&amp;", "</f>
        <v>group_id, </v>
      </c>
      <c r="G8" s="9" t="s">
        <v>198</v>
      </c>
      <c r="H8" s="9" t="s">
        <v>199</v>
      </c>
      <c r="I8" t="str">
        <f t="shared" si="0"/>
        <v>	('06', 'F'), </v>
      </c>
    </row>
    <row r="9" spans="2:9">
      <c r="B9" s="6" t="s">
        <v>186</v>
      </c>
      <c r="C9" s="4"/>
      <c r="D9" s="4"/>
      <c r="E9" s="6" t="s">
        <v>200</v>
      </c>
      <c r="F9" t="str">
        <f>B9</f>
        <v>group_name</v>
      </c>
      <c r="G9" s="9" t="s">
        <v>201</v>
      </c>
      <c r="H9" s="9" t="s">
        <v>202</v>
      </c>
      <c r="I9" t="str">
        <f t="shared" si="0"/>
        <v>	('07', 'G'), </v>
      </c>
    </row>
    <row r="10" spans="2:9">
      <c r="B10" s="6"/>
      <c r="C10" s="4"/>
      <c r="D10" s="4"/>
      <c r="E10" s="6"/>
      <c r="G10" s="9" t="s">
        <v>203</v>
      </c>
      <c r="H10" s="9" t="s">
        <v>204</v>
      </c>
      <c r="I10" t="str">
        <f t="shared" si="0"/>
        <v>	('08', 'H'), </v>
      </c>
    </row>
    <row r="11" spans="2:9">
      <c r="B11" s="6"/>
      <c r="C11" s="4"/>
      <c r="D11" s="4"/>
      <c r="E11" s="6"/>
      <c r="G11" s="9" t="s">
        <v>205</v>
      </c>
      <c r="H11" s="9" t="s">
        <v>206</v>
      </c>
      <c r="I11" t="str">
        <f t="shared" si="0"/>
        <v>	('09', 'I'), </v>
      </c>
    </row>
    <row r="12" spans="2:9">
      <c r="B12" s="6"/>
      <c r="C12" s="4"/>
      <c r="D12" s="4"/>
      <c r="E12" s="6"/>
      <c r="G12" s="9" t="s">
        <v>207</v>
      </c>
      <c r="H12" s="9" t="s">
        <v>208</v>
      </c>
      <c r="I12" t="str">
        <f t="shared" si="0"/>
        <v>	('10', 'J'), </v>
      </c>
    </row>
    <row r="13" spans="7:9">
      <c r="G13" s="9" t="s">
        <v>209</v>
      </c>
      <c r="H13" s="9" t="s">
        <v>210</v>
      </c>
      <c r="I13" t="str">
        <f t="shared" si="0"/>
        <v>	('11', 'K'), </v>
      </c>
    </row>
    <row r="14" spans="2:9">
      <c r="B14" t="str">
        <f>"DROP TABLE "&amp;B3&amp;" ;"</f>
        <v>DROP TABLE GROUPSTAGE ;</v>
      </c>
      <c r="G14" s="9" t="s">
        <v>211</v>
      </c>
      <c r="H14" s="9" t="s">
        <v>212</v>
      </c>
      <c r="I14" t="str">
        <f>CHAR(9)&amp;"('"&amp;G14&amp;"', '"&amp;H14&amp;"')"</f>
        <v>	('12', 'L')</v>
      </c>
    </row>
    <row r="15" spans="9:9">
      <c r="I15" t="s">
        <v>168</v>
      </c>
    </row>
    <row r="16" spans="2:2">
      <c r="B16" t="str">
        <f>"CREATE TABLE "&amp;B3&amp;"("</f>
        <v>CREATE TABLE GROUPSTAGE(</v>
      </c>
    </row>
    <row r="17" spans="2:2">
      <c r="B17" t="str">
        <f>CHAR(9)&amp;F8</f>
        <v>	group_id, </v>
      </c>
    </row>
    <row r="18" spans="2:2">
      <c r="B18" t="str">
        <f>CHAR(9)&amp;F9</f>
        <v>	group_name</v>
      </c>
    </row>
    <row r="19" spans="2:2">
      <c r="B19" t="str">
        <f>");"</f>
        <v>);</v>
      </c>
    </row>
    <row r="21" spans="2:2">
      <c r="B21" t="str">
        <f>"CREATE INDEX "&amp;B3&amp;"_IDX ON "&amp;B3&amp;" ("</f>
        <v>CREATE INDEX GROUPSTAGE_IDX ON GROUPSTAGE (</v>
      </c>
    </row>
    <row r="22" spans="2:2">
      <c r="B22" t="str">
        <f>CHAR(9)&amp;B8</f>
        <v>	group_id</v>
      </c>
    </row>
    <row r="23" spans="2:2">
      <c r="B23" t="s">
        <v>109</v>
      </c>
    </row>
  </sheetData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51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7.88888888888889" customWidth="1"/>
    <col min="8" max="8" width="22.3333333333333" customWidth="1"/>
    <col min="9" max="9" width="8.33333333333333" customWidth="1"/>
    <col min="10" max="16382" width="3.77777777777778" customWidth="1"/>
  </cols>
  <sheetData>
    <row r="1" spans="7:9">
      <c r="G1" t="s">
        <v>51</v>
      </c>
      <c r="H1" t="s">
        <v>51</v>
      </c>
      <c r="I1" t="s">
        <v>51</v>
      </c>
    </row>
    <row r="2" spans="2:10">
      <c r="B2" s="1" t="s">
        <v>31</v>
      </c>
      <c r="C2" s="1"/>
      <c r="D2" s="1"/>
      <c r="E2" s="2" t="s">
        <v>32</v>
      </c>
      <c r="G2" s="7" t="s">
        <v>170</v>
      </c>
      <c r="H2" s="7" t="s">
        <v>213</v>
      </c>
      <c r="I2" s="7" t="s">
        <v>185</v>
      </c>
      <c r="J2" t="str">
        <f>"INSERT INTO "&amp;B3&amp;" ("&amp;F8&amp;F9&amp;F10&amp;") VALUES "</f>
        <v>INSERT INTO TEAM (team_id, team_name, group_id) VALUES </v>
      </c>
    </row>
    <row r="3" spans="2:10">
      <c r="B3" s="3" t="s">
        <v>42</v>
      </c>
      <c r="C3" s="3"/>
      <c r="D3" s="3"/>
      <c r="E3" s="4" t="s">
        <v>40</v>
      </c>
      <c r="G3" s="9" t="s">
        <v>214</v>
      </c>
      <c r="H3" s="9" t="s">
        <v>215</v>
      </c>
      <c r="I3" s="9" t="s">
        <v>187</v>
      </c>
      <c r="J3" t="str">
        <f t="shared" ref="J3:J50" si="0">CHAR(9)&amp;"('"&amp;G3&amp;"', '"&amp;H3&amp;"', '"&amp;I3&amp;"'), "</f>
        <v>	('MEX', 'メキシコ', '01'), </v>
      </c>
    </row>
    <row r="4" spans="2:10">
      <c r="B4" s="1" t="s">
        <v>33</v>
      </c>
      <c r="C4" s="1"/>
      <c r="D4" s="1"/>
      <c r="E4" s="1"/>
      <c r="G4" s="9" t="s">
        <v>216</v>
      </c>
      <c r="H4" s="9" t="s">
        <v>217</v>
      </c>
      <c r="I4" s="9" t="s">
        <v>187</v>
      </c>
      <c r="J4" t="str">
        <f t="shared" si="0"/>
        <v>	('KOR', '大韓民国', '01'), </v>
      </c>
    </row>
    <row r="5" spans="2:10">
      <c r="B5" s="3" t="s">
        <v>43</v>
      </c>
      <c r="C5" s="3"/>
      <c r="D5" s="3"/>
      <c r="E5" s="3"/>
      <c r="G5" s="9" t="s">
        <v>218</v>
      </c>
      <c r="H5" s="9" t="s">
        <v>219</v>
      </c>
      <c r="I5" s="9" t="s">
        <v>187</v>
      </c>
      <c r="J5" t="str">
        <f t="shared" si="0"/>
        <v>	('CZE', 'チェコ共和国', '01'), </v>
      </c>
    </row>
    <row r="6" spans="7:10">
      <c r="G6" s="9" t="s">
        <v>220</v>
      </c>
      <c r="H6" s="9" t="s">
        <v>221</v>
      </c>
      <c r="I6" s="9" t="s">
        <v>187</v>
      </c>
      <c r="J6" t="str">
        <f t="shared" si="0"/>
        <v>	('RSA', '南アフリカ', '01'), </v>
      </c>
    </row>
    <row r="7" spans="2:10">
      <c r="B7" s="5" t="s">
        <v>66</v>
      </c>
      <c r="C7" s="5" t="s">
        <v>67</v>
      </c>
      <c r="D7" s="5" t="s">
        <v>68</v>
      </c>
      <c r="E7" s="5" t="s">
        <v>33</v>
      </c>
      <c r="G7" s="9" t="s">
        <v>222</v>
      </c>
      <c r="H7" s="9" t="s">
        <v>223</v>
      </c>
      <c r="I7" s="9" t="s">
        <v>189</v>
      </c>
      <c r="J7" t="str">
        <f t="shared" si="0"/>
        <v>	('CAN', 'カナダ', '02'), </v>
      </c>
    </row>
    <row r="8" spans="2:10">
      <c r="B8" s="6" t="s">
        <v>170</v>
      </c>
      <c r="C8" s="4" t="s">
        <v>72</v>
      </c>
      <c r="D8" s="4" t="s">
        <v>72</v>
      </c>
      <c r="E8" s="6" t="s">
        <v>179</v>
      </c>
      <c r="F8" t="str">
        <f t="shared" ref="F8:F10" si="1">B8&amp;", "</f>
        <v>team_id, </v>
      </c>
      <c r="G8" s="9" t="s">
        <v>224</v>
      </c>
      <c r="H8" s="9" t="s">
        <v>225</v>
      </c>
      <c r="I8" s="9" t="s">
        <v>189</v>
      </c>
      <c r="J8" t="str">
        <f t="shared" si="0"/>
        <v>	('SUI', 'スイス', '02'), </v>
      </c>
    </row>
    <row r="9" spans="2:10">
      <c r="B9" s="6" t="s">
        <v>213</v>
      </c>
      <c r="C9" s="4"/>
      <c r="D9" s="4"/>
      <c r="E9" s="6" t="s">
        <v>226</v>
      </c>
      <c r="F9" t="str">
        <f t="shared" si="1"/>
        <v>team_name, </v>
      </c>
      <c r="G9" s="9" t="s">
        <v>227</v>
      </c>
      <c r="H9" s="9" t="s">
        <v>228</v>
      </c>
      <c r="I9" s="9" t="s">
        <v>189</v>
      </c>
      <c r="J9" t="str">
        <f t="shared" si="0"/>
        <v>	('BIH', 'ボスニア・ヘルツェゴビナ', '02'), </v>
      </c>
    </row>
    <row r="10" spans="2:10">
      <c r="B10" s="6" t="s">
        <v>185</v>
      </c>
      <c r="C10" s="4"/>
      <c r="D10" s="4"/>
      <c r="E10" s="6" t="s">
        <v>197</v>
      </c>
      <c r="F10" t="str">
        <f>B10</f>
        <v>group_id</v>
      </c>
      <c r="G10" s="9" t="s">
        <v>229</v>
      </c>
      <c r="H10" s="9" t="s">
        <v>230</v>
      </c>
      <c r="I10" s="9" t="s">
        <v>189</v>
      </c>
      <c r="J10" t="str">
        <f t="shared" si="0"/>
        <v>	('QAT', 'カタール', '02'), </v>
      </c>
    </row>
    <row r="11" spans="2:10">
      <c r="B11" s="6"/>
      <c r="C11" s="4"/>
      <c r="D11" s="4"/>
      <c r="E11" s="6"/>
      <c r="G11" s="9" t="s">
        <v>231</v>
      </c>
      <c r="H11" s="9" t="s">
        <v>232</v>
      </c>
      <c r="I11" s="9" t="s">
        <v>191</v>
      </c>
      <c r="J11" t="str">
        <f t="shared" si="0"/>
        <v>	('BRA', 'ブラジル', '03'), </v>
      </c>
    </row>
    <row r="12" spans="2:10">
      <c r="B12" s="6"/>
      <c r="C12" s="4"/>
      <c r="D12" s="4"/>
      <c r="E12" s="6"/>
      <c r="G12" s="9" t="s">
        <v>233</v>
      </c>
      <c r="H12" s="9" t="s">
        <v>234</v>
      </c>
      <c r="I12" s="9" t="s">
        <v>191</v>
      </c>
      <c r="J12" t="str">
        <f t="shared" si="0"/>
        <v>	('MAR', 'モロッコ', '03'), </v>
      </c>
    </row>
    <row r="13" spans="7:10">
      <c r="G13" s="9" t="s">
        <v>235</v>
      </c>
      <c r="H13" s="9" t="s">
        <v>236</v>
      </c>
      <c r="I13" s="9" t="s">
        <v>191</v>
      </c>
      <c r="J13" t="str">
        <f t="shared" si="0"/>
        <v>	('SCO', 'スコットランド', '03'), </v>
      </c>
    </row>
    <row r="14" spans="2:10">
      <c r="B14" t="str">
        <f>"DROP TABLE "&amp;B3&amp;" ;"</f>
        <v>DROP TABLE TEAM ;</v>
      </c>
      <c r="G14" s="9" t="s">
        <v>237</v>
      </c>
      <c r="H14" s="9" t="s">
        <v>238</v>
      </c>
      <c r="I14" s="9" t="s">
        <v>191</v>
      </c>
      <c r="J14" t="str">
        <f t="shared" si="0"/>
        <v>	('HAI', 'ハイチ', '03'), </v>
      </c>
    </row>
    <row r="15" spans="7:10">
      <c r="G15" s="9" t="s">
        <v>239</v>
      </c>
      <c r="H15" s="9" t="s">
        <v>240</v>
      </c>
      <c r="I15" s="9" t="s">
        <v>193</v>
      </c>
      <c r="J15" t="str">
        <f t="shared" si="0"/>
        <v>	('USA', 'アメリカ合衆国', '04'), </v>
      </c>
    </row>
    <row r="16" spans="2:10">
      <c r="B16" t="str">
        <f>"CREATE TABLE "&amp;B3&amp;"("</f>
        <v>CREATE TABLE TEAM(</v>
      </c>
      <c r="G16" s="9" t="s">
        <v>241</v>
      </c>
      <c r="H16" s="9" t="s">
        <v>242</v>
      </c>
      <c r="I16" s="9" t="s">
        <v>193</v>
      </c>
      <c r="J16" t="str">
        <f t="shared" si="0"/>
        <v>	('AUS', 'オーストラリア', '04'), </v>
      </c>
    </row>
    <row r="17" spans="2:10">
      <c r="B17" t="str">
        <f t="shared" ref="B17:B19" si="2">CHAR(9)&amp;F8</f>
        <v>	team_id, </v>
      </c>
      <c r="G17" s="9" t="s">
        <v>243</v>
      </c>
      <c r="H17" s="9" t="s">
        <v>244</v>
      </c>
      <c r="I17" s="9" t="s">
        <v>193</v>
      </c>
      <c r="J17" t="str">
        <f t="shared" si="0"/>
        <v>	('PAR', 'パラグアイ', '04'), </v>
      </c>
    </row>
    <row r="18" spans="2:10">
      <c r="B18" t="str">
        <f t="shared" si="2"/>
        <v>	team_name, </v>
      </c>
      <c r="G18" s="9" t="s">
        <v>245</v>
      </c>
      <c r="H18" s="9" t="s">
        <v>246</v>
      </c>
      <c r="I18" s="9" t="s">
        <v>193</v>
      </c>
      <c r="J18" t="str">
        <f t="shared" si="0"/>
        <v>	('TUR', 'トルコ', '04'), </v>
      </c>
    </row>
    <row r="19" spans="2:10">
      <c r="B19" t="str">
        <f t="shared" si="2"/>
        <v>	group_id</v>
      </c>
      <c r="G19" s="9" t="s">
        <v>247</v>
      </c>
      <c r="H19" s="9" t="s">
        <v>248</v>
      </c>
      <c r="I19" s="9" t="s">
        <v>195</v>
      </c>
      <c r="J19" t="str">
        <f t="shared" si="0"/>
        <v>	('GER', 'ドイツ', '05'), </v>
      </c>
    </row>
    <row r="20" spans="2:10">
      <c r="B20" t="str">
        <f>");"</f>
        <v>);</v>
      </c>
      <c r="G20" s="9" t="s">
        <v>249</v>
      </c>
      <c r="H20" s="9" t="s">
        <v>250</v>
      </c>
      <c r="I20" s="9" t="s">
        <v>195</v>
      </c>
      <c r="J20" t="str">
        <f t="shared" si="0"/>
        <v>	('CIV', 'コートジボワール', '05'), </v>
      </c>
    </row>
    <row r="21" spans="7:10">
      <c r="G21" s="9" t="s">
        <v>251</v>
      </c>
      <c r="H21" s="9" t="s">
        <v>252</v>
      </c>
      <c r="I21" s="9" t="s">
        <v>195</v>
      </c>
      <c r="J21" t="str">
        <f t="shared" si="0"/>
        <v>	('ECU', 'エクアドル', '05'), </v>
      </c>
    </row>
    <row r="22" spans="2:10">
      <c r="B22" t="str">
        <f>"CREATE INDEX "&amp;B3&amp;"_IDX ON "&amp;B3&amp;" ("</f>
        <v>CREATE INDEX TEAM_IDX ON TEAM (</v>
      </c>
      <c r="G22" s="9" t="s">
        <v>253</v>
      </c>
      <c r="H22" s="9" t="s">
        <v>254</v>
      </c>
      <c r="I22" s="9" t="s">
        <v>195</v>
      </c>
      <c r="J22" t="str">
        <f t="shared" si="0"/>
        <v>	('CUW', 'キュラソー', '05'), </v>
      </c>
    </row>
    <row r="23" spans="2:10">
      <c r="B23" t="str">
        <f>CHAR(9)&amp;B8</f>
        <v>	team_id</v>
      </c>
      <c r="G23" s="9" t="s">
        <v>181</v>
      </c>
      <c r="H23" s="9" t="s">
        <v>255</v>
      </c>
      <c r="I23" s="9" t="s">
        <v>198</v>
      </c>
      <c r="J23" t="str">
        <f t="shared" si="0"/>
        <v>	('NED', 'オランダ', '06'), </v>
      </c>
    </row>
    <row r="24" spans="2:10">
      <c r="B24" t="s">
        <v>109</v>
      </c>
      <c r="G24" s="9" t="s">
        <v>182</v>
      </c>
      <c r="H24" s="9" t="s">
        <v>256</v>
      </c>
      <c r="I24" s="9" t="s">
        <v>198</v>
      </c>
      <c r="J24" t="str">
        <f t="shared" si="0"/>
        <v>	('JPN', '日本', '06'), </v>
      </c>
    </row>
    <row r="25" spans="7:10">
      <c r="G25" s="9" t="s">
        <v>183</v>
      </c>
      <c r="H25" s="9" t="s">
        <v>257</v>
      </c>
      <c r="I25" s="9" t="s">
        <v>198</v>
      </c>
      <c r="J25" t="str">
        <f t="shared" si="0"/>
        <v>	('SWE', 'スウェーデン', '06'), </v>
      </c>
    </row>
    <row r="26" spans="7:10">
      <c r="G26" s="9" t="s">
        <v>184</v>
      </c>
      <c r="H26" s="9" t="s">
        <v>258</v>
      </c>
      <c r="I26" s="9" t="s">
        <v>198</v>
      </c>
      <c r="J26" t="str">
        <f t="shared" si="0"/>
        <v>	('TUN', 'チュニジア', '06'), </v>
      </c>
    </row>
    <row r="27" spans="7:10">
      <c r="G27" s="9" t="s">
        <v>259</v>
      </c>
      <c r="H27" s="9" t="s">
        <v>260</v>
      </c>
      <c r="I27" s="9" t="s">
        <v>201</v>
      </c>
      <c r="J27" t="str">
        <f t="shared" si="0"/>
        <v>	('EGY', 'エジプト', '07'), </v>
      </c>
    </row>
    <row r="28" spans="7:10">
      <c r="G28" s="9" t="s">
        <v>261</v>
      </c>
      <c r="H28" s="9" t="s">
        <v>262</v>
      </c>
      <c r="I28" s="9" t="s">
        <v>201</v>
      </c>
      <c r="J28" t="str">
        <f t="shared" si="0"/>
        <v>	('IRN', 'イラン', '07'), </v>
      </c>
    </row>
    <row r="29" spans="7:10">
      <c r="G29" s="9" t="s">
        <v>263</v>
      </c>
      <c r="H29" s="9" t="s">
        <v>264</v>
      </c>
      <c r="I29" s="9" t="s">
        <v>201</v>
      </c>
      <c r="J29" t="str">
        <f t="shared" si="0"/>
        <v>	('BEL', 'ベルギー', '07'), </v>
      </c>
    </row>
    <row r="30" spans="7:10">
      <c r="G30" s="9" t="s">
        <v>265</v>
      </c>
      <c r="H30" s="9" t="s">
        <v>266</v>
      </c>
      <c r="I30" s="9" t="s">
        <v>201</v>
      </c>
      <c r="J30" t="str">
        <f t="shared" si="0"/>
        <v>	('NZL', 'ニュージーランド', '07'), </v>
      </c>
    </row>
    <row r="31" spans="7:10">
      <c r="G31" s="9" t="s">
        <v>267</v>
      </c>
      <c r="H31" s="9" t="s">
        <v>268</v>
      </c>
      <c r="I31" s="9" t="s">
        <v>203</v>
      </c>
      <c r="J31" t="str">
        <f t="shared" si="0"/>
        <v>	('ESP', 'スペイン', '08'), </v>
      </c>
    </row>
    <row r="32" spans="7:10">
      <c r="G32" s="9" t="s">
        <v>269</v>
      </c>
      <c r="H32" s="9" t="s">
        <v>270</v>
      </c>
      <c r="I32" s="9" t="s">
        <v>203</v>
      </c>
      <c r="J32" t="str">
        <f t="shared" si="0"/>
        <v>	('URU', 'ウルグアイ', '08'), </v>
      </c>
    </row>
    <row r="33" spans="7:10">
      <c r="G33" s="9" t="s">
        <v>271</v>
      </c>
      <c r="H33" s="9" t="s">
        <v>272</v>
      </c>
      <c r="I33" s="9" t="s">
        <v>203</v>
      </c>
      <c r="J33" t="str">
        <f t="shared" si="0"/>
        <v>	('CPV', 'カーボベルデ', '08'), </v>
      </c>
    </row>
    <row r="34" spans="7:10">
      <c r="G34" s="9" t="s">
        <v>273</v>
      </c>
      <c r="H34" s="9" t="s">
        <v>274</v>
      </c>
      <c r="I34" s="9" t="s">
        <v>203</v>
      </c>
      <c r="J34" t="str">
        <f t="shared" si="0"/>
        <v>	('KSA', 'サウジアラビア', '08'), </v>
      </c>
    </row>
    <row r="35" spans="7:10">
      <c r="G35" s="9" t="s">
        <v>275</v>
      </c>
      <c r="H35" s="9" t="s">
        <v>276</v>
      </c>
      <c r="I35" s="9" t="s">
        <v>205</v>
      </c>
      <c r="J35" t="str">
        <f t="shared" si="0"/>
        <v>	('FRA', 'フランス', '09'), </v>
      </c>
    </row>
    <row r="36" spans="7:10">
      <c r="G36" s="9" t="s">
        <v>277</v>
      </c>
      <c r="H36" s="9" t="s">
        <v>278</v>
      </c>
      <c r="I36" s="9" t="s">
        <v>205</v>
      </c>
      <c r="J36" t="str">
        <f t="shared" si="0"/>
        <v>	('NOR', 'ノルウェー', '09'), </v>
      </c>
    </row>
    <row r="37" spans="7:10">
      <c r="G37" s="9" t="s">
        <v>279</v>
      </c>
      <c r="H37" s="9" t="s">
        <v>280</v>
      </c>
      <c r="I37" s="9" t="s">
        <v>205</v>
      </c>
      <c r="J37" t="str">
        <f t="shared" si="0"/>
        <v>	('SEN', 'セネガル', '09'), </v>
      </c>
    </row>
    <row r="38" spans="7:10">
      <c r="G38" s="9" t="s">
        <v>281</v>
      </c>
      <c r="H38" s="9" t="s">
        <v>282</v>
      </c>
      <c r="I38" s="9" t="s">
        <v>205</v>
      </c>
      <c r="J38" t="str">
        <f t="shared" si="0"/>
        <v>	('IRQ', 'イラク', '09'), </v>
      </c>
    </row>
    <row r="39" spans="7:10">
      <c r="G39" s="9" t="s">
        <v>283</v>
      </c>
      <c r="H39" s="9" t="s">
        <v>284</v>
      </c>
      <c r="I39" s="9" t="s">
        <v>207</v>
      </c>
      <c r="J39" t="str">
        <f t="shared" si="0"/>
        <v>	('ARG', 'アルゼンチン', '10'), </v>
      </c>
    </row>
    <row r="40" spans="7:10">
      <c r="G40" s="9" t="s">
        <v>285</v>
      </c>
      <c r="H40" s="9" t="s">
        <v>286</v>
      </c>
      <c r="I40" s="9" t="s">
        <v>207</v>
      </c>
      <c r="J40" t="str">
        <f t="shared" si="0"/>
        <v>	('AUT', 'オーストリア', '10'), </v>
      </c>
    </row>
    <row r="41" spans="7:10">
      <c r="G41" s="9" t="s">
        <v>287</v>
      </c>
      <c r="H41" s="9" t="s">
        <v>288</v>
      </c>
      <c r="I41" s="9" t="s">
        <v>207</v>
      </c>
      <c r="J41" t="str">
        <f t="shared" si="0"/>
        <v>	('JOR', 'ヨルダン', '10'), </v>
      </c>
    </row>
    <row r="42" spans="7:10">
      <c r="G42" s="9" t="s">
        <v>289</v>
      </c>
      <c r="H42" s="9" t="s">
        <v>290</v>
      </c>
      <c r="I42" s="9" t="s">
        <v>207</v>
      </c>
      <c r="J42" t="str">
        <f t="shared" si="0"/>
        <v>	('ALG', 'アルジェリア', '10'), </v>
      </c>
    </row>
    <row r="43" spans="7:10">
      <c r="G43" s="9" t="s">
        <v>291</v>
      </c>
      <c r="H43" s="9" t="s">
        <v>292</v>
      </c>
      <c r="I43" s="9" t="s">
        <v>209</v>
      </c>
      <c r="J43" t="str">
        <f t="shared" si="0"/>
        <v>	('COL', 'コロンビア', '11'), </v>
      </c>
    </row>
    <row r="44" spans="7:10">
      <c r="G44" s="9" t="s">
        <v>293</v>
      </c>
      <c r="H44" s="9" t="s">
        <v>294</v>
      </c>
      <c r="I44" s="9" t="s">
        <v>209</v>
      </c>
      <c r="J44" t="str">
        <f t="shared" si="0"/>
        <v>	('COD', 'コンゴ民主共和国', '11'), </v>
      </c>
    </row>
    <row r="45" spans="7:10">
      <c r="G45" s="9" t="s">
        <v>295</v>
      </c>
      <c r="H45" s="9" t="s">
        <v>296</v>
      </c>
      <c r="I45" s="9" t="s">
        <v>209</v>
      </c>
      <c r="J45" t="str">
        <f t="shared" si="0"/>
        <v>	('POR', 'ポルトガル', '11'), </v>
      </c>
    </row>
    <row r="46" spans="7:10">
      <c r="G46" s="9" t="s">
        <v>297</v>
      </c>
      <c r="H46" s="9" t="s">
        <v>298</v>
      </c>
      <c r="I46" s="9" t="s">
        <v>209</v>
      </c>
      <c r="J46" t="str">
        <f t="shared" si="0"/>
        <v>	('UZB', 'ウズベキスタン', '11'), </v>
      </c>
    </row>
    <row r="47" spans="7:10">
      <c r="G47" s="9" t="s">
        <v>299</v>
      </c>
      <c r="H47" s="9" t="s">
        <v>300</v>
      </c>
      <c r="I47" s="9" t="s">
        <v>211</v>
      </c>
      <c r="J47" t="str">
        <f t="shared" si="0"/>
        <v>	('ENG', 'イングランド', '12'), </v>
      </c>
    </row>
    <row r="48" spans="7:10">
      <c r="G48" s="9" t="s">
        <v>301</v>
      </c>
      <c r="H48" s="9" t="s">
        <v>302</v>
      </c>
      <c r="I48" s="9" t="s">
        <v>211</v>
      </c>
      <c r="J48" t="str">
        <f t="shared" si="0"/>
        <v>	('GHA', 'ガーナ', '12'), </v>
      </c>
    </row>
    <row r="49" spans="7:10">
      <c r="G49" s="9" t="s">
        <v>303</v>
      </c>
      <c r="H49" s="9" t="s">
        <v>304</v>
      </c>
      <c r="I49" s="9" t="s">
        <v>211</v>
      </c>
      <c r="J49" t="str">
        <f t="shared" si="0"/>
        <v>	('PAN', 'パナマ', '12'), </v>
      </c>
    </row>
    <row r="50" spans="7:10">
      <c r="G50" s="9" t="s">
        <v>305</v>
      </c>
      <c r="H50" s="9" t="s">
        <v>306</v>
      </c>
      <c r="I50" s="9" t="s">
        <v>211</v>
      </c>
      <c r="J50" t="str">
        <f>CHAR(9)&amp;"('"&amp;G50&amp;"', '"&amp;H50&amp;"', '"&amp;I50&amp;"')"</f>
        <v>	('CRO', 'クロアチア', '12')</v>
      </c>
    </row>
    <row r="51" spans="10:10">
      <c r="J51" t="s">
        <v>168</v>
      </c>
    </row>
  </sheetData>
  <pageMargins left="0.75" right="0.75" top="1" bottom="1" header="0.5" footer="0.5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214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4.77777777777778" customWidth="1"/>
    <col min="8" max="8" width="7.88888888888889" customWidth="1"/>
    <col min="9" max="9" width="33.3333333333333" customWidth="1"/>
    <col min="10" max="16384" width="3.77777777777778" customWidth="1"/>
  </cols>
  <sheetData>
    <row r="1" spans="7:8">
      <c r="G1" t="s">
        <v>169</v>
      </c>
      <c r="H1" t="s">
        <v>51</v>
      </c>
    </row>
    <row r="2" spans="2:10">
      <c r="B2" s="1" t="s">
        <v>31</v>
      </c>
      <c r="C2" s="1"/>
      <c r="D2" s="1"/>
      <c r="E2" s="2" t="s">
        <v>32</v>
      </c>
      <c r="G2" s="7" t="s">
        <v>307</v>
      </c>
      <c r="H2" s="7" t="s">
        <v>170</v>
      </c>
      <c r="I2" s="17" t="s">
        <v>308</v>
      </c>
      <c r="J2" t="str">
        <f>"INSERT INTO "&amp;B3&amp;" ("&amp;F8&amp;F9&amp;") VALUES "</f>
        <v>INSERT INTO FIFARANK (rank, team_id) VALUES </v>
      </c>
    </row>
    <row r="3" spans="2:10">
      <c r="B3" s="3" t="s">
        <v>44</v>
      </c>
      <c r="C3" s="3"/>
      <c r="D3" s="3"/>
      <c r="E3" s="4" t="s">
        <v>40</v>
      </c>
      <c r="G3" s="8">
        <v>1</v>
      </c>
      <c r="H3" s="9" t="s">
        <v>283</v>
      </c>
      <c r="I3" s="11" t="s">
        <v>284</v>
      </c>
      <c r="J3" t="str">
        <f t="shared" ref="J3:J66" si="0">CHAR(9)&amp;"("&amp;G3&amp;", '"&amp;H3&amp;"'), "</f>
        <v>	(1, 'ARG'), </v>
      </c>
    </row>
    <row r="4" spans="2:10">
      <c r="B4" s="1" t="s">
        <v>33</v>
      </c>
      <c r="C4" s="1"/>
      <c r="D4" s="1"/>
      <c r="E4" s="1"/>
      <c r="G4" s="8">
        <v>2</v>
      </c>
      <c r="H4" s="9" t="s">
        <v>267</v>
      </c>
      <c r="I4" s="11" t="s">
        <v>268</v>
      </c>
      <c r="J4" t="str">
        <f t="shared" si="0"/>
        <v>	(2, 'ESP'), </v>
      </c>
    </row>
    <row r="5" spans="2:10">
      <c r="B5" s="3" t="s">
        <v>45</v>
      </c>
      <c r="C5" s="3"/>
      <c r="D5" s="3"/>
      <c r="E5" s="3"/>
      <c r="G5" s="8">
        <v>3</v>
      </c>
      <c r="H5" s="9" t="s">
        <v>275</v>
      </c>
      <c r="I5" s="11" t="s">
        <v>276</v>
      </c>
      <c r="J5" t="str">
        <f t="shared" si="0"/>
        <v>	(3, 'FRA'), </v>
      </c>
    </row>
    <row r="6" spans="7:10">
      <c r="G6" s="8">
        <v>4</v>
      </c>
      <c r="H6" s="9" t="s">
        <v>299</v>
      </c>
      <c r="I6" s="11" t="s">
        <v>300</v>
      </c>
      <c r="J6" t="str">
        <f t="shared" si="0"/>
        <v>	(4, 'ENG'), </v>
      </c>
    </row>
    <row r="7" spans="2:10">
      <c r="B7" s="5" t="s">
        <v>66</v>
      </c>
      <c r="C7" s="5" t="s">
        <v>67</v>
      </c>
      <c r="D7" s="5" t="s">
        <v>68</v>
      </c>
      <c r="E7" s="5" t="s">
        <v>33</v>
      </c>
      <c r="G7" s="8">
        <v>5</v>
      </c>
      <c r="H7" s="9" t="s">
        <v>295</v>
      </c>
      <c r="I7" s="11" t="s">
        <v>296</v>
      </c>
      <c r="J7" t="str">
        <f t="shared" si="0"/>
        <v>	(5, 'POR'), </v>
      </c>
    </row>
    <row r="8" spans="2:10">
      <c r="B8" s="6" t="s">
        <v>307</v>
      </c>
      <c r="C8" s="4" t="s">
        <v>72</v>
      </c>
      <c r="D8" s="4" t="s">
        <v>72</v>
      </c>
      <c r="E8" s="6" t="s">
        <v>309</v>
      </c>
      <c r="F8" t="str">
        <f>B8&amp;", "</f>
        <v>rank, </v>
      </c>
      <c r="G8" s="8">
        <v>6</v>
      </c>
      <c r="H8" s="9" t="s">
        <v>231</v>
      </c>
      <c r="I8" s="11" t="s">
        <v>232</v>
      </c>
      <c r="J8" t="str">
        <f t="shared" si="0"/>
        <v>	(6, 'BRA'), </v>
      </c>
    </row>
    <row r="9" spans="2:10">
      <c r="B9" s="6" t="s">
        <v>170</v>
      </c>
      <c r="C9" s="4" t="s">
        <v>72</v>
      </c>
      <c r="D9" s="4" t="s">
        <v>72</v>
      </c>
      <c r="E9" s="6" t="s">
        <v>179</v>
      </c>
      <c r="F9" t="str">
        <f>B9</f>
        <v>team_id</v>
      </c>
      <c r="G9" s="8">
        <v>7</v>
      </c>
      <c r="H9" s="9" t="s">
        <v>233</v>
      </c>
      <c r="I9" s="11" t="s">
        <v>234</v>
      </c>
      <c r="J9" t="str">
        <f t="shared" si="0"/>
        <v>	(7, 'MAR'), </v>
      </c>
    </row>
    <row r="10" spans="2:10">
      <c r="B10" s="6"/>
      <c r="C10" s="4"/>
      <c r="D10" s="4"/>
      <c r="E10" s="6"/>
      <c r="G10" s="8">
        <v>8</v>
      </c>
      <c r="H10" s="9" t="s">
        <v>181</v>
      </c>
      <c r="I10" s="11" t="s">
        <v>255</v>
      </c>
      <c r="J10" t="str">
        <f t="shared" si="0"/>
        <v>	(8, 'NED'), </v>
      </c>
    </row>
    <row r="11" spans="2:10">
      <c r="B11" s="6"/>
      <c r="C11" s="4"/>
      <c r="D11" s="4"/>
      <c r="E11" s="6"/>
      <c r="G11" s="8">
        <v>9</v>
      </c>
      <c r="H11" s="9" t="s">
        <v>263</v>
      </c>
      <c r="I11" s="11" t="s">
        <v>264</v>
      </c>
      <c r="J11" t="str">
        <f t="shared" si="0"/>
        <v>	(9, 'BEL'), </v>
      </c>
    </row>
    <row r="12" spans="2:10">
      <c r="B12" s="6"/>
      <c r="C12" s="4"/>
      <c r="D12" s="4"/>
      <c r="E12" s="6"/>
      <c r="G12" s="8">
        <v>10</v>
      </c>
      <c r="H12" s="9" t="s">
        <v>247</v>
      </c>
      <c r="I12" s="11" t="s">
        <v>248</v>
      </c>
      <c r="J12" t="str">
        <f t="shared" si="0"/>
        <v>	(10, 'GER'), </v>
      </c>
    </row>
    <row r="13" spans="7:10">
      <c r="G13" s="8">
        <v>11</v>
      </c>
      <c r="H13" s="9" t="s">
        <v>305</v>
      </c>
      <c r="I13" s="11" t="s">
        <v>306</v>
      </c>
      <c r="J13" t="str">
        <f t="shared" si="0"/>
        <v>	(11, 'CRO'), </v>
      </c>
    </row>
    <row r="14" spans="2:10">
      <c r="B14" t="str">
        <f>"DROP TABLE "&amp;B3&amp;" ;"</f>
        <v>DROP TABLE FIFARANK ;</v>
      </c>
      <c r="G14" s="8">
        <v>12</v>
      </c>
      <c r="H14" s="9" t="s">
        <v>310</v>
      </c>
      <c r="I14" s="11" t="s">
        <v>311</v>
      </c>
      <c r="J14" t="str">
        <f t="shared" si="0"/>
        <v>	(12, 'ITA'), </v>
      </c>
    </row>
    <row r="15" spans="7:10">
      <c r="G15" s="8">
        <v>13</v>
      </c>
      <c r="H15" s="9" t="s">
        <v>291</v>
      </c>
      <c r="I15" s="11" t="s">
        <v>292</v>
      </c>
      <c r="J15" t="str">
        <f t="shared" si="0"/>
        <v>	(13, 'COL'), </v>
      </c>
    </row>
    <row r="16" spans="2:10">
      <c r="B16" t="str">
        <f>"CREATE TABLE "&amp;B3&amp;"("</f>
        <v>CREATE TABLE FIFARANK(</v>
      </c>
      <c r="G16" s="8">
        <v>14</v>
      </c>
      <c r="H16" s="9" t="s">
        <v>214</v>
      </c>
      <c r="I16" s="11" t="s">
        <v>215</v>
      </c>
      <c r="J16" t="str">
        <f t="shared" si="0"/>
        <v>	(14, 'MEX'), </v>
      </c>
    </row>
    <row r="17" spans="2:10">
      <c r="B17" t="str">
        <f>CHAR(9)&amp;F8</f>
        <v>	rank, </v>
      </c>
      <c r="G17" s="8">
        <v>15</v>
      </c>
      <c r="H17" s="9" t="s">
        <v>279</v>
      </c>
      <c r="I17" s="11" t="s">
        <v>280</v>
      </c>
      <c r="J17" t="str">
        <f t="shared" si="0"/>
        <v>	(15, 'SEN'), </v>
      </c>
    </row>
    <row r="18" spans="2:10">
      <c r="B18" t="str">
        <f>CHAR(9)&amp;F9</f>
        <v>	team_id</v>
      </c>
      <c r="G18" s="8">
        <v>16</v>
      </c>
      <c r="H18" s="9" t="s">
        <v>269</v>
      </c>
      <c r="I18" s="11" t="s">
        <v>270</v>
      </c>
      <c r="J18" t="str">
        <f t="shared" si="0"/>
        <v>	(16, 'URU'), </v>
      </c>
    </row>
    <row r="19" spans="2:10">
      <c r="B19" t="str">
        <f>");"</f>
        <v>);</v>
      </c>
      <c r="G19" s="8">
        <v>17</v>
      </c>
      <c r="H19" s="9" t="s">
        <v>239</v>
      </c>
      <c r="I19" s="11" t="s">
        <v>240</v>
      </c>
      <c r="J19" t="str">
        <f t="shared" si="0"/>
        <v>	(17, 'USA'), </v>
      </c>
    </row>
    <row r="20" spans="7:10">
      <c r="G20" s="8">
        <v>18</v>
      </c>
      <c r="H20" s="9" t="s">
        <v>182</v>
      </c>
      <c r="I20" s="11" t="s">
        <v>256</v>
      </c>
      <c r="J20" t="str">
        <f t="shared" si="0"/>
        <v>	(18, 'JPN'), </v>
      </c>
    </row>
    <row r="21" spans="2:10">
      <c r="B21" t="str">
        <f>"CREATE INDEX "&amp;B3&amp;"_IDX ON "&amp;B3&amp;" ("</f>
        <v>CREATE INDEX FIFARANK_IDX ON FIFARANK (</v>
      </c>
      <c r="G21" s="8">
        <v>19</v>
      </c>
      <c r="H21" s="9" t="s">
        <v>224</v>
      </c>
      <c r="I21" s="11" t="s">
        <v>225</v>
      </c>
      <c r="J21" t="str">
        <f t="shared" si="0"/>
        <v>	(19, 'SUI'), </v>
      </c>
    </row>
    <row r="22" spans="2:10">
      <c r="B22" t="str">
        <f>CHAR(9)&amp;B8</f>
        <v>	rank</v>
      </c>
      <c r="G22" s="8">
        <v>20</v>
      </c>
      <c r="H22" s="9" t="s">
        <v>261</v>
      </c>
      <c r="I22" s="11" t="s">
        <v>262</v>
      </c>
      <c r="J22" t="str">
        <f t="shared" si="0"/>
        <v>	(20, 'IRN'), </v>
      </c>
    </row>
    <row r="23" spans="2:10">
      <c r="B23" t="s">
        <v>109</v>
      </c>
      <c r="G23" s="8">
        <v>21</v>
      </c>
      <c r="H23" s="9" t="s">
        <v>312</v>
      </c>
      <c r="I23" s="11" t="s">
        <v>313</v>
      </c>
      <c r="J23" t="str">
        <f t="shared" si="0"/>
        <v>	(21, 'DEN'), </v>
      </c>
    </row>
    <row r="24" spans="7:10">
      <c r="G24" s="8">
        <v>22</v>
      </c>
      <c r="H24" s="9" t="s">
        <v>245</v>
      </c>
      <c r="I24" s="11" t="s">
        <v>246</v>
      </c>
      <c r="J24" t="str">
        <f t="shared" si="0"/>
        <v>	(22, 'TUR'), </v>
      </c>
    </row>
    <row r="25" spans="7:10">
      <c r="G25" s="8">
        <v>23</v>
      </c>
      <c r="H25" s="9" t="s">
        <v>251</v>
      </c>
      <c r="I25" s="11" t="s">
        <v>252</v>
      </c>
      <c r="J25" t="str">
        <f t="shared" si="0"/>
        <v>	(23, 'ECU'), </v>
      </c>
    </row>
    <row r="26" spans="7:10">
      <c r="G26" s="8">
        <v>24</v>
      </c>
      <c r="H26" s="9" t="s">
        <v>285</v>
      </c>
      <c r="I26" s="11" t="s">
        <v>286</v>
      </c>
      <c r="J26" t="str">
        <f t="shared" si="0"/>
        <v>	(24, 'AUT'), </v>
      </c>
    </row>
    <row r="27" spans="7:10">
      <c r="G27" s="8">
        <v>25</v>
      </c>
      <c r="H27" s="9" t="s">
        <v>216</v>
      </c>
      <c r="I27" s="11" t="s">
        <v>217</v>
      </c>
      <c r="J27" t="str">
        <f t="shared" si="0"/>
        <v>	(25, 'KOR'), </v>
      </c>
    </row>
    <row r="28" spans="7:10">
      <c r="G28" s="8">
        <v>26</v>
      </c>
      <c r="H28" s="9" t="s">
        <v>314</v>
      </c>
      <c r="I28" s="11" t="s">
        <v>315</v>
      </c>
      <c r="J28" t="str">
        <f t="shared" si="0"/>
        <v>	(26, 'NGA'), </v>
      </c>
    </row>
    <row r="29" spans="7:10">
      <c r="G29" s="8">
        <v>27</v>
      </c>
      <c r="H29" s="9" t="s">
        <v>241</v>
      </c>
      <c r="I29" s="11" t="s">
        <v>242</v>
      </c>
      <c r="J29" t="str">
        <f t="shared" si="0"/>
        <v>	(27, 'AUS'), </v>
      </c>
    </row>
    <row r="30" spans="7:10">
      <c r="G30" s="8">
        <v>28</v>
      </c>
      <c r="H30" s="9" t="s">
        <v>289</v>
      </c>
      <c r="I30" s="11" t="s">
        <v>290</v>
      </c>
      <c r="J30" t="str">
        <f t="shared" si="0"/>
        <v>	(28, 'ALG'), </v>
      </c>
    </row>
    <row r="31" spans="7:10">
      <c r="G31" s="8">
        <v>29</v>
      </c>
      <c r="H31" s="9" t="s">
        <v>259</v>
      </c>
      <c r="I31" s="11" t="s">
        <v>260</v>
      </c>
      <c r="J31" t="str">
        <f t="shared" si="0"/>
        <v>	(29, 'EGY'), </v>
      </c>
    </row>
    <row r="32" spans="7:10">
      <c r="G32" s="8">
        <v>30</v>
      </c>
      <c r="H32" s="9" t="s">
        <v>222</v>
      </c>
      <c r="I32" s="11" t="s">
        <v>223</v>
      </c>
      <c r="J32" t="str">
        <f t="shared" si="0"/>
        <v>	(30, 'CAN'), </v>
      </c>
    </row>
    <row r="33" spans="7:10">
      <c r="G33" s="8">
        <v>31</v>
      </c>
      <c r="H33" s="9" t="s">
        <v>277</v>
      </c>
      <c r="I33" s="11" t="s">
        <v>278</v>
      </c>
      <c r="J33" t="str">
        <f t="shared" si="0"/>
        <v>	(31, 'NOR'), </v>
      </c>
    </row>
    <row r="34" spans="7:10">
      <c r="G34" s="8">
        <v>32</v>
      </c>
      <c r="H34" s="9" t="s">
        <v>316</v>
      </c>
      <c r="I34" s="11" t="s">
        <v>317</v>
      </c>
      <c r="J34" t="str">
        <f t="shared" si="0"/>
        <v>	(32, 'UKR'), </v>
      </c>
    </row>
    <row r="35" spans="7:10">
      <c r="G35" s="8">
        <v>33</v>
      </c>
      <c r="H35" s="9" t="s">
        <v>249</v>
      </c>
      <c r="I35" s="11" t="s">
        <v>250</v>
      </c>
      <c r="J35" t="str">
        <f t="shared" si="0"/>
        <v>	(33, 'CIV'), </v>
      </c>
    </row>
    <row r="36" spans="7:10">
      <c r="G36" s="8">
        <v>34</v>
      </c>
      <c r="H36" s="9" t="s">
        <v>303</v>
      </c>
      <c r="I36" s="11" t="s">
        <v>304</v>
      </c>
      <c r="J36" t="str">
        <f t="shared" si="0"/>
        <v>	(34, 'PAN'), </v>
      </c>
    </row>
    <row r="37" spans="7:10">
      <c r="G37" s="8">
        <v>35</v>
      </c>
      <c r="H37" s="9" t="s">
        <v>318</v>
      </c>
      <c r="I37" s="11" t="s">
        <v>319</v>
      </c>
      <c r="J37" t="str">
        <f t="shared" si="0"/>
        <v>	(35, 'RUS'), </v>
      </c>
    </row>
    <row r="38" spans="7:10">
      <c r="G38" s="8">
        <v>36</v>
      </c>
      <c r="H38" s="9" t="s">
        <v>320</v>
      </c>
      <c r="I38" s="11" t="s">
        <v>321</v>
      </c>
      <c r="J38" t="str">
        <f t="shared" si="0"/>
        <v>	(36, 'POL'), </v>
      </c>
    </row>
    <row r="39" spans="7:10">
      <c r="G39" s="8">
        <v>37</v>
      </c>
      <c r="H39" s="9" t="s">
        <v>322</v>
      </c>
      <c r="I39" s="11" t="s">
        <v>323</v>
      </c>
      <c r="J39" t="str">
        <f t="shared" si="0"/>
        <v>	(37, 'WAL'), </v>
      </c>
    </row>
    <row r="40" spans="7:10">
      <c r="G40" s="8">
        <v>38</v>
      </c>
      <c r="H40" s="9" t="s">
        <v>183</v>
      </c>
      <c r="I40" s="11" t="s">
        <v>257</v>
      </c>
      <c r="J40" t="str">
        <f t="shared" si="0"/>
        <v>	(38, 'SWE'), </v>
      </c>
    </row>
    <row r="41" spans="7:10">
      <c r="G41" s="8">
        <v>39</v>
      </c>
      <c r="H41" s="9" t="s">
        <v>324</v>
      </c>
      <c r="I41" s="11" t="s">
        <v>325</v>
      </c>
      <c r="J41" t="str">
        <f t="shared" si="0"/>
        <v>	(39, 'HUN'), </v>
      </c>
    </row>
    <row r="42" spans="7:10">
      <c r="G42" s="8">
        <v>40</v>
      </c>
      <c r="H42" s="9" t="s">
        <v>218</v>
      </c>
      <c r="I42" s="11" t="s">
        <v>219</v>
      </c>
      <c r="J42" t="str">
        <f t="shared" si="0"/>
        <v>	(40, 'CZE'), </v>
      </c>
    </row>
    <row r="43" spans="7:10">
      <c r="G43" s="8">
        <v>41</v>
      </c>
      <c r="H43" s="9" t="s">
        <v>243</v>
      </c>
      <c r="I43" s="11" t="s">
        <v>244</v>
      </c>
      <c r="J43" t="str">
        <f t="shared" si="0"/>
        <v>	(41, 'PAR'), </v>
      </c>
    </row>
    <row r="44" spans="7:10">
      <c r="G44" s="8">
        <v>42</v>
      </c>
      <c r="H44" s="9" t="s">
        <v>235</v>
      </c>
      <c r="I44" s="11" t="s">
        <v>236</v>
      </c>
      <c r="J44" t="str">
        <f t="shared" si="0"/>
        <v>	(42, 'SCO'), </v>
      </c>
    </row>
    <row r="45" spans="7:10">
      <c r="G45" s="8">
        <v>43</v>
      </c>
      <c r="H45" s="9" t="s">
        <v>326</v>
      </c>
      <c r="I45" s="11" t="s">
        <v>327</v>
      </c>
      <c r="J45" t="str">
        <f t="shared" si="0"/>
        <v>	(43, 'SRB'), </v>
      </c>
    </row>
    <row r="46" spans="7:10">
      <c r="G46" s="8">
        <v>44</v>
      </c>
      <c r="H46" s="9" t="s">
        <v>328</v>
      </c>
      <c r="I46" s="11" t="s">
        <v>329</v>
      </c>
      <c r="J46" t="str">
        <f t="shared" si="0"/>
        <v>	(44, 'CMR'), </v>
      </c>
    </row>
    <row r="47" spans="7:10">
      <c r="G47" s="8">
        <v>45</v>
      </c>
      <c r="H47" s="9" t="s">
        <v>184</v>
      </c>
      <c r="I47" s="11" t="s">
        <v>258</v>
      </c>
      <c r="J47" t="str">
        <f t="shared" si="0"/>
        <v>	(45, 'TUN'), </v>
      </c>
    </row>
    <row r="48" spans="7:10">
      <c r="G48" s="8">
        <v>46</v>
      </c>
      <c r="H48" s="9" t="s">
        <v>293</v>
      </c>
      <c r="I48" s="11" t="s">
        <v>294</v>
      </c>
      <c r="J48" t="str">
        <f t="shared" si="0"/>
        <v>	(46, 'COD'), </v>
      </c>
    </row>
    <row r="49" spans="7:10">
      <c r="G49" s="8">
        <v>47</v>
      </c>
      <c r="H49" s="9" t="s">
        <v>330</v>
      </c>
      <c r="I49" s="11" t="s">
        <v>331</v>
      </c>
      <c r="J49" t="str">
        <f t="shared" si="0"/>
        <v>	(47, 'SVK'), </v>
      </c>
    </row>
    <row r="50" spans="7:10">
      <c r="G50" s="8">
        <v>48</v>
      </c>
      <c r="H50" s="9" t="s">
        <v>332</v>
      </c>
      <c r="I50" s="11" t="s">
        <v>333</v>
      </c>
      <c r="J50" t="str">
        <f t="shared" si="0"/>
        <v>	(48, 'GRE'), </v>
      </c>
    </row>
    <row r="51" spans="7:10">
      <c r="G51" s="8">
        <v>49</v>
      </c>
      <c r="H51" s="9" t="s">
        <v>334</v>
      </c>
      <c r="I51" s="11" t="s">
        <v>335</v>
      </c>
      <c r="J51" t="str">
        <f t="shared" si="0"/>
        <v>	(49, 'VEN'), </v>
      </c>
    </row>
    <row r="52" spans="7:10">
      <c r="G52" s="8">
        <v>50</v>
      </c>
      <c r="H52" s="9" t="s">
        <v>297</v>
      </c>
      <c r="I52" s="11" t="s">
        <v>298</v>
      </c>
      <c r="J52" t="str">
        <f t="shared" si="0"/>
        <v>	(50, 'UZB'), </v>
      </c>
    </row>
    <row r="53" spans="7:10">
      <c r="G53" s="8">
        <v>51</v>
      </c>
      <c r="H53" s="9" t="s">
        <v>336</v>
      </c>
      <c r="I53" s="11" t="s">
        <v>337</v>
      </c>
      <c r="J53" t="str">
        <f t="shared" si="0"/>
        <v>	(51, 'CHI'), </v>
      </c>
    </row>
    <row r="54" spans="7:10">
      <c r="G54" s="8">
        <v>52</v>
      </c>
      <c r="H54" s="9" t="s">
        <v>338</v>
      </c>
      <c r="I54" s="11" t="s">
        <v>339</v>
      </c>
      <c r="J54" t="str">
        <f t="shared" si="0"/>
        <v>	(52, 'PER'), </v>
      </c>
    </row>
    <row r="55" spans="7:10">
      <c r="G55" s="8">
        <v>53</v>
      </c>
      <c r="H55" s="9" t="s">
        <v>340</v>
      </c>
      <c r="I55" s="11" t="s">
        <v>341</v>
      </c>
      <c r="J55" t="str">
        <f t="shared" si="0"/>
        <v>	(53, 'CRC'), </v>
      </c>
    </row>
    <row r="56" spans="7:10">
      <c r="G56" s="8">
        <v>54</v>
      </c>
      <c r="H56" s="9" t="s">
        <v>342</v>
      </c>
      <c r="I56" s="11" t="s">
        <v>343</v>
      </c>
      <c r="J56" t="str">
        <f t="shared" si="0"/>
        <v>	(54, 'ROU'), </v>
      </c>
    </row>
    <row r="57" spans="7:10">
      <c r="G57" s="8">
        <v>55</v>
      </c>
      <c r="H57" s="9" t="s">
        <v>344</v>
      </c>
      <c r="I57" s="11" t="s">
        <v>345</v>
      </c>
      <c r="J57" t="str">
        <f t="shared" si="0"/>
        <v>	(55, 'MLI'), </v>
      </c>
    </row>
    <row r="58" spans="7:10">
      <c r="G58" s="8">
        <v>56</v>
      </c>
      <c r="H58" s="9" t="s">
        <v>229</v>
      </c>
      <c r="I58" s="11" t="s">
        <v>230</v>
      </c>
      <c r="J58" t="str">
        <f t="shared" si="0"/>
        <v>	(56, 'QAT'), </v>
      </c>
    </row>
    <row r="59" spans="7:10">
      <c r="G59" s="8">
        <v>57</v>
      </c>
      <c r="H59" s="9" t="s">
        <v>281</v>
      </c>
      <c r="I59" s="11" t="s">
        <v>282</v>
      </c>
      <c r="J59" t="str">
        <f t="shared" si="0"/>
        <v>	(57, 'IRQ'), </v>
      </c>
    </row>
    <row r="60" spans="7:10">
      <c r="G60" s="8">
        <v>58</v>
      </c>
      <c r="H60" s="9" t="s">
        <v>346</v>
      </c>
      <c r="I60" s="11" t="s">
        <v>347</v>
      </c>
      <c r="J60" t="str">
        <f t="shared" si="0"/>
        <v>	(58, 'IRL'), </v>
      </c>
    </row>
    <row r="61" spans="7:10">
      <c r="G61" s="8">
        <v>59</v>
      </c>
      <c r="H61" s="9" t="s">
        <v>348</v>
      </c>
      <c r="I61" s="11" t="s">
        <v>349</v>
      </c>
      <c r="J61" t="str">
        <f t="shared" si="0"/>
        <v>	(59, 'SVN'), </v>
      </c>
    </row>
    <row r="62" spans="7:10">
      <c r="G62" s="8">
        <v>60</v>
      </c>
      <c r="H62" s="9" t="s">
        <v>220</v>
      </c>
      <c r="I62" s="11" t="s">
        <v>221</v>
      </c>
      <c r="J62" t="str">
        <f t="shared" si="0"/>
        <v>	(60, 'RSA'), </v>
      </c>
    </row>
    <row r="63" spans="7:10">
      <c r="G63" s="8">
        <v>61</v>
      </c>
      <c r="H63" s="9" t="s">
        <v>273</v>
      </c>
      <c r="I63" s="11" t="s">
        <v>274</v>
      </c>
      <c r="J63" t="str">
        <f t="shared" si="0"/>
        <v>	(61, 'KSA'), </v>
      </c>
    </row>
    <row r="64" spans="7:10">
      <c r="G64" s="8">
        <v>62</v>
      </c>
      <c r="H64" s="9" t="s">
        <v>350</v>
      </c>
      <c r="I64" s="11" t="s">
        <v>351</v>
      </c>
      <c r="J64" t="str">
        <f t="shared" si="0"/>
        <v>	(62, 'BFA'), </v>
      </c>
    </row>
    <row r="65" spans="7:10">
      <c r="G65" s="8">
        <v>63</v>
      </c>
      <c r="H65" s="9" t="s">
        <v>287</v>
      </c>
      <c r="I65" s="11" t="s">
        <v>288</v>
      </c>
      <c r="J65" t="str">
        <f t="shared" si="0"/>
        <v>	(63, 'JOR'), </v>
      </c>
    </row>
    <row r="66" spans="7:10">
      <c r="G66" s="8">
        <v>64</v>
      </c>
      <c r="H66" s="9" t="s">
        <v>227</v>
      </c>
      <c r="I66" s="11" t="s">
        <v>228</v>
      </c>
      <c r="J66" t="str">
        <f t="shared" si="0"/>
        <v>	(64, 'BIH'), </v>
      </c>
    </row>
    <row r="67" spans="7:10">
      <c r="G67" s="8">
        <v>65</v>
      </c>
      <c r="H67" s="9" t="s">
        <v>352</v>
      </c>
      <c r="I67" s="11" t="s">
        <v>353</v>
      </c>
      <c r="J67" t="str">
        <f t="shared" ref="J67:J130" si="1">CHAR(9)&amp;"("&amp;G67&amp;", '"&amp;H67&amp;"'), "</f>
        <v>	(65, 'HON'), </v>
      </c>
    </row>
    <row r="68" spans="7:10">
      <c r="G68" s="8">
        <v>66</v>
      </c>
      <c r="H68" s="9" t="s">
        <v>354</v>
      </c>
      <c r="I68" s="11" t="s">
        <v>355</v>
      </c>
      <c r="J68" t="str">
        <f t="shared" si="1"/>
        <v>	(66, 'ALB'), </v>
      </c>
    </row>
    <row r="69" spans="7:10">
      <c r="G69" s="8">
        <v>67</v>
      </c>
      <c r="H69" s="9" t="s">
        <v>271</v>
      </c>
      <c r="I69" s="11" t="s">
        <v>272</v>
      </c>
      <c r="J69" t="str">
        <f t="shared" si="1"/>
        <v>	(67, 'CPV'), </v>
      </c>
    </row>
    <row r="70" spans="7:10">
      <c r="G70" s="8">
        <v>68</v>
      </c>
      <c r="H70" s="9" t="s">
        <v>356</v>
      </c>
      <c r="I70" s="11" t="s">
        <v>357</v>
      </c>
      <c r="J70" t="str">
        <f t="shared" si="1"/>
        <v>	(68, 'UAE'), </v>
      </c>
    </row>
    <row r="71" spans="7:10">
      <c r="G71" s="8">
        <v>69</v>
      </c>
      <c r="H71" s="9" t="s">
        <v>358</v>
      </c>
      <c r="I71" s="11" t="s">
        <v>359</v>
      </c>
      <c r="J71" t="str">
        <f t="shared" si="1"/>
        <v>	(69, 'MKD'), </v>
      </c>
    </row>
    <row r="72" spans="7:10">
      <c r="G72" s="8">
        <v>70</v>
      </c>
      <c r="H72" s="9" t="s">
        <v>360</v>
      </c>
      <c r="I72" s="11" t="s">
        <v>361</v>
      </c>
      <c r="J72" t="str">
        <f t="shared" si="1"/>
        <v>	(70, 'NIR'), </v>
      </c>
    </row>
    <row r="73" spans="7:10">
      <c r="G73" s="8">
        <v>71</v>
      </c>
      <c r="H73" s="9" t="s">
        <v>362</v>
      </c>
      <c r="I73" s="11" t="s">
        <v>363</v>
      </c>
      <c r="J73" t="str">
        <f t="shared" si="1"/>
        <v>	(71, 'JAM'), </v>
      </c>
    </row>
    <row r="74" spans="7:10">
      <c r="G74" s="8">
        <v>72</v>
      </c>
      <c r="H74" s="9" t="s">
        <v>364</v>
      </c>
      <c r="I74" s="11" t="s">
        <v>365</v>
      </c>
      <c r="J74" t="str">
        <f t="shared" si="1"/>
        <v>	(72, 'GEO'), </v>
      </c>
    </row>
    <row r="75" spans="7:10">
      <c r="G75" s="8">
        <v>73</v>
      </c>
      <c r="H75" s="9" t="s">
        <v>301</v>
      </c>
      <c r="I75" s="11" t="s">
        <v>302</v>
      </c>
      <c r="J75" t="str">
        <f t="shared" si="1"/>
        <v>	(73, 'GHA'), </v>
      </c>
    </row>
    <row r="76" spans="7:10">
      <c r="G76" s="8">
        <v>74</v>
      </c>
      <c r="H76" s="9" t="s">
        <v>366</v>
      </c>
      <c r="I76" s="11" t="s">
        <v>367</v>
      </c>
      <c r="J76" t="str">
        <f t="shared" si="1"/>
        <v>	(74, 'ISL'), </v>
      </c>
    </row>
    <row r="77" spans="7:10">
      <c r="G77" s="8">
        <v>75</v>
      </c>
      <c r="H77" s="9" t="s">
        <v>368</v>
      </c>
      <c r="I77" s="11" t="s">
        <v>369</v>
      </c>
      <c r="J77" t="str">
        <f t="shared" si="1"/>
        <v>	(75, 'FIN'), </v>
      </c>
    </row>
    <row r="78" spans="7:10">
      <c r="G78" s="8">
        <v>76</v>
      </c>
      <c r="H78" s="9" t="s">
        <v>370</v>
      </c>
      <c r="I78" s="11" t="s">
        <v>371</v>
      </c>
      <c r="J78" t="str">
        <f t="shared" si="1"/>
        <v>	(76, 'ISR'), </v>
      </c>
    </row>
    <row r="79" spans="7:10">
      <c r="G79" s="8">
        <v>77</v>
      </c>
      <c r="H79" s="9" t="s">
        <v>372</v>
      </c>
      <c r="I79" s="11" t="s">
        <v>373</v>
      </c>
      <c r="J79" t="str">
        <f t="shared" si="1"/>
        <v>	(77, 'BOL'), </v>
      </c>
    </row>
    <row r="80" spans="7:10">
      <c r="G80" s="8">
        <v>78</v>
      </c>
      <c r="H80" s="9" t="s">
        <v>374</v>
      </c>
      <c r="I80" s="11" t="s">
        <v>375</v>
      </c>
      <c r="J80" t="str">
        <f t="shared" si="1"/>
        <v>	(78, 'KOS'), </v>
      </c>
    </row>
    <row r="81" spans="7:10">
      <c r="G81" s="8">
        <v>79</v>
      </c>
      <c r="H81" s="9" t="s">
        <v>376</v>
      </c>
      <c r="I81" s="11" t="s">
        <v>377</v>
      </c>
      <c r="J81" t="str">
        <f t="shared" si="1"/>
        <v>	(79, 'OMA'), </v>
      </c>
    </row>
    <row r="82" spans="7:10">
      <c r="G82" s="8">
        <v>80</v>
      </c>
      <c r="H82" s="9" t="s">
        <v>378</v>
      </c>
      <c r="I82" s="11" t="s">
        <v>379</v>
      </c>
      <c r="J82" t="str">
        <f t="shared" si="1"/>
        <v>	(80, 'MNE'), </v>
      </c>
    </row>
    <row r="83" spans="7:10">
      <c r="G83" s="8">
        <v>81</v>
      </c>
      <c r="H83" s="9" t="s">
        <v>380</v>
      </c>
      <c r="I83" s="11" t="s">
        <v>381</v>
      </c>
      <c r="J83" t="str">
        <f t="shared" si="1"/>
        <v>	(81, 'GUI'), </v>
      </c>
    </row>
    <row r="84" spans="7:10">
      <c r="G84" s="8">
        <v>82</v>
      </c>
      <c r="H84" s="9" t="s">
        <v>253</v>
      </c>
      <c r="I84" s="11" t="s">
        <v>254</v>
      </c>
      <c r="J84" t="str">
        <f t="shared" si="1"/>
        <v>	(82, 'CUW'), </v>
      </c>
    </row>
    <row r="85" spans="7:10">
      <c r="G85" s="8">
        <v>83</v>
      </c>
      <c r="H85" s="9" t="s">
        <v>237</v>
      </c>
      <c r="I85" s="11" t="s">
        <v>238</v>
      </c>
      <c r="J85" t="str">
        <f t="shared" si="1"/>
        <v>	(83, 'HAI'), </v>
      </c>
    </row>
    <row r="86" spans="7:10">
      <c r="G86" s="8">
        <v>84</v>
      </c>
      <c r="H86" s="9" t="s">
        <v>382</v>
      </c>
      <c r="I86" s="11" t="s">
        <v>383</v>
      </c>
      <c r="J86" t="str">
        <f t="shared" si="1"/>
        <v>	(84, 'SYR'), </v>
      </c>
    </row>
    <row r="87" spans="7:10">
      <c r="G87" s="8">
        <v>85</v>
      </c>
      <c r="H87" s="9" t="s">
        <v>265</v>
      </c>
      <c r="I87" s="11" t="s">
        <v>266</v>
      </c>
      <c r="J87" t="str">
        <f t="shared" si="1"/>
        <v>	(85, 'NZL'), </v>
      </c>
    </row>
    <row r="88" spans="7:10">
      <c r="G88" s="8">
        <v>86</v>
      </c>
      <c r="H88" s="9" t="s">
        <v>384</v>
      </c>
      <c r="I88" s="11" t="s">
        <v>385</v>
      </c>
      <c r="J88" t="str">
        <f t="shared" si="1"/>
        <v>	(86, 'GAB'), </v>
      </c>
    </row>
    <row r="89" spans="7:10">
      <c r="G89" s="8">
        <v>87</v>
      </c>
      <c r="H89" s="9" t="s">
        <v>386</v>
      </c>
      <c r="I89" s="11" t="s">
        <v>387</v>
      </c>
      <c r="J89" t="str">
        <f t="shared" si="1"/>
        <v>	(87, 'BUL'), </v>
      </c>
    </row>
    <row r="90" spans="7:10">
      <c r="G90" s="8">
        <v>88</v>
      </c>
      <c r="H90" s="9" t="s">
        <v>388</v>
      </c>
      <c r="I90" s="11" t="s">
        <v>389</v>
      </c>
      <c r="J90" t="str">
        <f t="shared" si="1"/>
        <v>	(88, 'ANG'), </v>
      </c>
    </row>
    <row r="91" spans="7:10">
      <c r="G91" s="8">
        <v>89</v>
      </c>
      <c r="H91" s="9" t="s">
        <v>390</v>
      </c>
      <c r="I91" s="11" t="s">
        <v>391</v>
      </c>
      <c r="J91" t="str">
        <f t="shared" si="1"/>
        <v>	(89, 'UGA'), </v>
      </c>
    </row>
    <row r="92" spans="7:10">
      <c r="G92" s="8">
        <v>90</v>
      </c>
      <c r="H92" s="9" t="s">
        <v>392</v>
      </c>
      <c r="I92" s="11" t="s">
        <v>393</v>
      </c>
      <c r="J92" t="str">
        <f t="shared" si="1"/>
        <v>	(90, 'ZAM'), </v>
      </c>
    </row>
    <row r="93" spans="7:10">
      <c r="G93" s="8">
        <v>91</v>
      </c>
      <c r="H93" s="9" t="s">
        <v>394</v>
      </c>
      <c r="I93" s="11" t="s">
        <v>395</v>
      </c>
      <c r="J93" t="str">
        <f t="shared" si="1"/>
        <v>	(91, 'CHN'), </v>
      </c>
    </row>
    <row r="94" spans="7:10">
      <c r="G94" s="8">
        <v>92</v>
      </c>
      <c r="H94" s="9" t="s">
        <v>396</v>
      </c>
      <c r="I94" s="11" t="s">
        <v>397</v>
      </c>
      <c r="J94" t="str">
        <f t="shared" si="1"/>
        <v>	(92, 'BHR'), </v>
      </c>
    </row>
    <row r="95" spans="7:10">
      <c r="G95" s="8">
        <v>93</v>
      </c>
      <c r="H95" s="9" t="s">
        <v>398</v>
      </c>
      <c r="I95" s="11" t="s">
        <v>399</v>
      </c>
      <c r="J95" t="str">
        <f t="shared" si="1"/>
        <v>	(93, 'BEN'), </v>
      </c>
    </row>
    <row r="96" spans="7:10">
      <c r="G96" s="8">
        <v>94</v>
      </c>
      <c r="H96" s="9" t="s">
        <v>400</v>
      </c>
      <c r="I96" s="11" t="s">
        <v>401</v>
      </c>
      <c r="J96" t="str">
        <f t="shared" si="1"/>
        <v>	(94, 'THA'), </v>
      </c>
    </row>
    <row r="97" spans="7:10">
      <c r="G97" s="8">
        <v>95</v>
      </c>
      <c r="H97" s="9" t="s">
        <v>402</v>
      </c>
      <c r="I97" s="11" t="s">
        <v>403</v>
      </c>
      <c r="J97" t="str">
        <f t="shared" si="1"/>
        <v>	(95, 'PSE'), </v>
      </c>
    </row>
    <row r="98" spans="7:10">
      <c r="G98" s="8">
        <v>96</v>
      </c>
      <c r="H98" s="9" t="s">
        <v>404</v>
      </c>
      <c r="I98" s="11" t="s">
        <v>405</v>
      </c>
      <c r="J98" t="str">
        <f t="shared" si="1"/>
        <v>	(96, 'BLR'), </v>
      </c>
    </row>
    <row r="99" spans="7:10">
      <c r="G99" s="8">
        <v>97</v>
      </c>
      <c r="H99" s="9" t="s">
        <v>406</v>
      </c>
      <c r="I99" s="11" t="s">
        <v>407</v>
      </c>
      <c r="J99" t="str">
        <f t="shared" si="1"/>
        <v>	(97, 'GUA'), </v>
      </c>
    </row>
    <row r="100" spans="7:10">
      <c r="G100" s="8">
        <v>98</v>
      </c>
      <c r="H100" s="9" t="s">
        <v>408</v>
      </c>
      <c r="I100" s="11" t="s">
        <v>409</v>
      </c>
      <c r="J100" t="str">
        <f t="shared" si="1"/>
        <v>	(98, 'LUX'), </v>
      </c>
    </row>
    <row r="101" spans="7:10">
      <c r="G101" s="8">
        <v>99</v>
      </c>
      <c r="H101" s="9" t="s">
        <v>410</v>
      </c>
      <c r="I101" s="11" t="s">
        <v>411</v>
      </c>
      <c r="J101" t="str">
        <f t="shared" si="1"/>
        <v>	(99, 'VIE'), </v>
      </c>
    </row>
    <row r="102" spans="7:10">
      <c r="G102" s="8">
        <v>100</v>
      </c>
      <c r="H102" s="9" t="s">
        <v>412</v>
      </c>
      <c r="I102" s="11" t="s">
        <v>413</v>
      </c>
      <c r="J102" t="str">
        <f t="shared" si="1"/>
        <v>	(100, 'SLV'), </v>
      </c>
    </row>
    <row r="103" spans="7:10">
      <c r="G103" s="8">
        <v>101</v>
      </c>
      <c r="H103" s="9" t="s">
        <v>414</v>
      </c>
      <c r="I103" s="11" t="s">
        <v>415</v>
      </c>
      <c r="J103" t="str">
        <f t="shared" si="1"/>
        <v>	(101, 'TJK'), </v>
      </c>
    </row>
    <row r="104" spans="7:10">
      <c r="G104" s="8">
        <v>102</v>
      </c>
      <c r="H104" s="9" t="s">
        <v>416</v>
      </c>
      <c r="I104" s="11" t="s">
        <v>417</v>
      </c>
      <c r="J104" t="str">
        <f t="shared" si="1"/>
        <v>	(102, 'TRI'), </v>
      </c>
    </row>
    <row r="105" spans="7:10">
      <c r="G105" s="8">
        <v>103</v>
      </c>
      <c r="H105" s="9" t="s">
        <v>418</v>
      </c>
      <c r="I105" s="11" t="s">
        <v>419</v>
      </c>
      <c r="J105" t="str">
        <f t="shared" si="1"/>
        <v>	(103, 'MOZ'), </v>
      </c>
    </row>
    <row r="106" spans="7:10">
      <c r="G106" s="8">
        <v>104</v>
      </c>
      <c r="H106" s="9" t="s">
        <v>420</v>
      </c>
      <c r="I106" s="11" t="s">
        <v>421</v>
      </c>
      <c r="J106" t="str">
        <f t="shared" si="1"/>
        <v>	(104, 'MAD'), </v>
      </c>
    </row>
    <row r="107" spans="7:10">
      <c r="G107" s="8">
        <v>105</v>
      </c>
      <c r="H107" s="9" t="s">
        <v>422</v>
      </c>
      <c r="I107" s="11" t="s">
        <v>423</v>
      </c>
      <c r="J107" t="str">
        <f t="shared" si="1"/>
        <v>	(105, 'EQG'), </v>
      </c>
    </row>
    <row r="108" spans="7:10">
      <c r="G108" s="8">
        <v>106</v>
      </c>
      <c r="H108" s="9" t="s">
        <v>424</v>
      </c>
      <c r="I108" s="11" t="s">
        <v>425</v>
      </c>
      <c r="J108" t="str">
        <f t="shared" si="1"/>
        <v>	(106, 'KGZ'), </v>
      </c>
    </row>
    <row r="109" spans="7:10">
      <c r="G109" s="8">
        <v>107</v>
      </c>
      <c r="H109" s="9" t="s">
        <v>426</v>
      </c>
      <c r="I109" s="11" t="s">
        <v>427</v>
      </c>
      <c r="J109" t="str">
        <f t="shared" si="1"/>
        <v>	(107, 'ARM'), </v>
      </c>
    </row>
    <row r="110" spans="7:10">
      <c r="G110" s="8">
        <v>108</v>
      </c>
      <c r="H110" s="9" t="s">
        <v>428</v>
      </c>
      <c r="I110" s="11" t="s">
        <v>429</v>
      </c>
      <c r="J110" t="str">
        <f t="shared" si="1"/>
        <v>	(108, 'COM'), </v>
      </c>
    </row>
    <row r="111" spans="7:10">
      <c r="G111" s="8">
        <v>109</v>
      </c>
      <c r="H111" s="9" t="s">
        <v>430</v>
      </c>
      <c r="I111" s="11" t="s">
        <v>431</v>
      </c>
      <c r="J111" t="str">
        <f t="shared" si="1"/>
        <v>	(109, 'KEN'), </v>
      </c>
    </row>
    <row r="112" spans="7:10">
      <c r="G112" s="8">
        <v>110</v>
      </c>
      <c r="H112" s="9" t="s">
        <v>432</v>
      </c>
      <c r="I112" s="11" t="s">
        <v>433</v>
      </c>
      <c r="J112" t="str">
        <f t="shared" si="1"/>
        <v>	(110, 'LBY'), </v>
      </c>
    </row>
    <row r="113" spans="7:10">
      <c r="G113" s="8">
        <v>111</v>
      </c>
      <c r="H113" s="9" t="s">
        <v>434</v>
      </c>
      <c r="I113" s="11" t="s">
        <v>435</v>
      </c>
      <c r="J113" t="str">
        <f t="shared" si="1"/>
        <v>	(111, 'KAZ'), </v>
      </c>
    </row>
    <row r="114" spans="7:10">
      <c r="G114" s="8">
        <v>112</v>
      </c>
      <c r="H114" s="9" t="s">
        <v>436</v>
      </c>
      <c r="I114" s="11" t="s">
        <v>437</v>
      </c>
      <c r="J114" t="str">
        <f t="shared" si="1"/>
        <v>	(112, 'TAN'), </v>
      </c>
    </row>
    <row r="115" spans="7:10">
      <c r="G115" s="8">
        <v>113</v>
      </c>
      <c r="H115" s="9" t="s">
        <v>438</v>
      </c>
      <c r="I115" s="11" t="s">
        <v>439</v>
      </c>
      <c r="J115" t="str">
        <f t="shared" si="1"/>
        <v>	(113, 'MTN'), </v>
      </c>
    </row>
    <row r="116" spans="7:10">
      <c r="G116" s="8">
        <v>114</v>
      </c>
      <c r="H116" s="9" t="s">
        <v>440</v>
      </c>
      <c r="I116" s="11" t="s">
        <v>441</v>
      </c>
      <c r="J116" t="str">
        <f t="shared" si="1"/>
        <v>	(114, 'NER'), </v>
      </c>
    </row>
    <row r="117" spans="7:10">
      <c r="G117" s="8">
        <v>115</v>
      </c>
      <c r="H117" s="9" t="s">
        <v>442</v>
      </c>
      <c r="I117" s="11" t="s">
        <v>443</v>
      </c>
      <c r="J117" t="str">
        <f t="shared" si="1"/>
        <v>	(115, 'LBN'), </v>
      </c>
    </row>
    <row r="118" spans="7:10">
      <c r="G118" s="8">
        <v>116</v>
      </c>
      <c r="H118" s="9" t="s">
        <v>444</v>
      </c>
      <c r="I118" s="11" t="s">
        <v>445</v>
      </c>
      <c r="J118" t="str">
        <f t="shared" si="1"/>
        <v>	(116, 'GAM'), </v>
      </c>
    </row>
    <row r="119" spans="7:10">
      <c r="G119" s="8">
        <v>117</v>
      </c>
      <c r="H119" s="9" t="s">
        <v>446</v>
      </c>
      <c r="I119" s="11" t="s">
        <v>447</v>
      </c>
      <c r="J119" t="str">
        <f t="shared" si="1"/>
        <v>	(117, 'SDN'), </v>
      </c>
    </row>
    <row r="120" spans="7:10">
      <c r="G120" s="8">
        <v>118</v>
      </c>
      <c r="H120" s="9" t="s">
        <v>448</v>
      </c>
      <c r="I120" s="11" t="s">
        <v>449</v>
      </c>
      <c r="J120" t="str">
        <f t="shared" si="1"/>
        <v>	(118, 'IDN'), </v>
      </c>
    </row>
    <row r="121" spans="7:10">
      <c r="G121" s="8">
        <v>119</v>
      </c>
      <c r="H121" s="9" t="s">
        <v>450</v>
      </c>
      <c r="I121" s="11" t="s">
        <v>451</v>
      </c>
      <c r="J121" t="str">
        <f t="shared" si="1"/>
        <v>	(119, 'TOG'), </v>
      </c>
    </row>
    <row r="122" spans="7:10">
      <c r="G122" s="8">
        <v>120</v>
      </c>
      <c r="H122" s="9" t="s">
        <v>452</v>
      </c>
      <c r="I122" s="11" t="s">
        <v>453</v>
      </c>
      <c r="J122" t="str">
        <f t="shared" si="1"/>
        <v>	(120, 'PRK'), </v>
      </c>
    </row>
    <row r="123" spans="7:10">
      <c r="G123" s="8">
        <v>121</v>
      </c>
      <c r="H123" s="9" t="s">
        <v>454</v>
      </c>
      <c r="I123" s="11" t="s">
        <v>455</v>
      </c>
      <c r="J123" t="str">
        <f t="shared" si="1"/>
        <v>	(121, 'NAM'), </v>
      </c>
    </row>
    <row r="124" spans="7:10">
      <c r="G124" s="8">
        <v>122</v>
      </c>
      <c r="H124" s="9" t="s">
        <v>456</v>
      </c>
      <c r="I124" s="11" t="s">
        <v>457</v>
      </c>
      <c r="J124" t="str">
        <f t="shared" si="1"/>
        <v>	(122, 'SLE'), </v>
      </c>
    </row>
    <row r="125" spans="7:10">
      <c r="G125" s="8">
        <v>123</v>
      </c>
      <c r="H125" s="9" t="s">
        <v>458</v>
      </c>
      <c r="I125" s="11" t="s">
        <v>459</v>
      </c>
      <c r="J125" t="str">
        <f t="shared" si="1"/>
        <v>	(123, 'FRO'), </v>
      </c>
    </row>
    <row r="126" spans="7:10">
      <c r="G126" s="8">
        <v>124</v>
      </c>
      <c r="H126" s="9" t="s">
        <v>460</v>
      </c>
      <c r="I126" s="11" t="s">
        <v>461</v>
      </c>
      <c r="J126" t="str">
        <f t="shared" si="1"/>
        <v>	(124, 'CYP'), </v>
      </c>
    </row>
    <row r="127" spans="7:10">
      <c r="G127" s="8">
        <v>125</v>
      </c>
      <c r="H127" s="9" t="s">
        <v>462</v>
      </c>
      <c r="I127" s="11" t="s">
        <v>463</v>
      </c>
      <c r="J127" t="str">
        <f t="shared" si="1"/>
        <v>	(125, 'SUR'), </v>
      </c>
    </row>
    <row r="128" spans="7:10">
      <c r="G128" s="8">
        <v>126</v>
      </c>
      <c r="H128" s="9" t="s">
        <v>464</v>
      </c>
      <c r="I128" s="11" t="s">
        <v>465</v>
      </c>
      <c r="J128" t="str">
        <f t="shared" si="1"/>
        <v>	(126, 'AZE'), </v>
      </c>
    </row>
    <row r="129" spans="7:10">
      <c r="G129" s="8">
        <v>127</v>
      </c>
      <c r="H129" s="9" t="s">
        <v>466</v>
      </c>
      <c r="I129" s="11" t="s">
        <v>467</v>
      </c>
      <c r="J129" t="str">
        <f t="shared" si="1"/>
        <v>	(127, 'EST'), </v>
      </c>
    </row>
    <row r="130" spans="7:10">
      <c r="G130" s="8">
        <v>128</v>
      </c>
      <c r="H130" s="9" t="s">
        <v>468</v>
      </c>
      <c r="I130" s="11" t="s">
        <v>469</v>
      </c>
      <c r="J130" t="str">
        <f t="shared" si="1"/>
        <v>	(128, 'RWA'), </v>
      </c>
    </row>
    <row r="131" spans="7:10">
      <c r="G131" s="8">
        <v>129</v>
      </c>
      <c r="H131" s="9" t="s">
        <v>470</v>
      </c>
      <c r="I131" s="11" t="s">
        <v>471</v>
      </c>
      <c r="J131" t="str">
        <f t="shared" ref="J131:J194" si="2">CHAR(9)&amp;"("&amp;G131&amp;", '"&amp;H131&amp;"'), "</f>
        <v>	(129, 'MWI'), </v>
      </c>
    </row>
    <row r="132" spans="7:10">
      <c r="G132" s="8">
        <v>130</v>
      </c>
      <c r="H132" s="9" t="s">
        <v>472</v>
      </c>
      <c r="I132" s="11" t="s">
        <v>473</v>
      </c>
      <c r="J132" t="str">
        <f t="shared" si="2"/>
        <v>	(130, 'ZIM'), </v>
      </c>
    </row>
    <row r="133" spans="7:10">
      <c r="G133" s="8">
        <v>131</v>
      </c>
      <c r="H133" s="9" t="s">
        <v>474</v>
      </c>
      <c r="I133" s="11" t="s">
        <v>475</v>
      </c>
      <c r="J133" t="str">
        <f t="shared" si="2"/>
        <v>	(131, 'NCA'), </v>
      </c>
    </row>
    <row r="134" spans="7:10">
      <c r="G134" s="8">
        <v>132</v>
      </c>
      <c r="H134" s="9" t="s">
        <v>476</v>
      </c>
      <c r="I134" s="11" t="s">
        <v>477</v>
      </c>
      <c r="J134" t="str">
        <f t="shared" si="2"/>
        <v>	(132, 'GNB'), </v>
      </c>
    </row>
    <row r="135" spans="7:10">
      <c r="G135" s="8">
        <v>133</v>
      </c>
      <c r="H135" s="9" t="s">
        <v>478</v>
      </c>
      <c r="I135" s="11" t="s">
        <v>479</v>
      </c>
      <c r="J135" t="str">
        <f t="shared" si="2"/>
        <v>	(133, 'KUW'), </v>
      </c>
    </row>
    <row r="136" spans="7:10">
      <c r="G136" s="8">
        <v>134</v>
      </c>
      <c r="H136" s="9" t="s">
        <v>480</v>
      </c>
      <c r="I136" s="11" t="s">
        <v>481</v>
      </c>
      <c r="J136" t="str">
        <f t="shared" si="2"/>
        <v>	(134, 'CGO'), </v>
      </c>
    </row>
    <row r="137" spans="7:10">
      <c r="G137" s="8">
        <v>135</v>
      </c>
      <c r="H137" s="9" t="s">
        <v>482</v>
      </c>
      <c r="I137" s="11" t="s">
        <v>483</v>
      </c>
      <c r="J137" t="str">
        <f t="shared" si="2"/>
        <v>	(135, 'PHI'), </v>
      </c>
    </row>
    <row r="138" spans="7:10">
      <c r="G138" s="8">
        <v>136</v>
      </c>
      <c r="H138" s="9" t="s">
        <v>484</v>
      </c>
      <c r="I138" s="11" t="s">
        <v>485</v>
      </c>
      <c r="J138" t="str">
        <f t="shared" si="2"/>
        <v>	(136, 'MAS'), </v>
      </c>
    </row>
    <row r="139" spans="7:10">
      <c r="G139" s="8">
        <v>137</v>
      </c>
      <c r="H139" s="9" t="s">
        <v>486</v>
      </c>
      <c r="I139" s="11" t="s">
        <v>487</v>
      </c>
      <c r="J139" t="str">
        <f t="shared" si="2"/>
        <v>	(137, 'LVA'), </v>
      </c>
    </row>
    <row r="140" spans="7:10">
      <c r="G140" s="8">
        <v>138</v>
      </c>
      <c r="H140" s="9" t="s">
        <v>488</v>
      </c>
      <c r="I140" s="11" t="s">
        <v>489</v>
      </c>
      <c r="J140" t="str">
        <f t="shared" si="2"/>
        <v>	(138, 'IND'), </v>
      </c>
    </row>
    <row r="141" spans="7:10">
      <c r="G141" s="8">
        <v>139</v>
      </c>
      <c r="H141" s="9" t="s">
        <v>490</v>
      </c>
      <c r="I141" s="11" t="s">
        <v>491</v>
      </c>
      <c r="J141" t="str">
        <f t="shared" si="2"/>
        <v>	(139, 'CTA'), </v>
      </c>
    </row>
    <row r="142" spans="7:10">
      <c r="G142" s="8">
        <v>140</v>
      </c>
      <c r="H142" s="9" t="s">
        <v>492</v>
      </c>
      <c r="I142" s="11" t="s">
        <v>493</v>
      </c>
      <c r="J142" t="str">
        <f t="shared" si="2"/>
        <v>	(140, 'LBR'), </v>
      </c>
    </row>
    <row r="143" spans="7:10">
      <c r="G143" s="8">
        <v>141</v>
      </c>
      <c r="H143" s="9" t="s">
        <v>494</v>
      </c>
      <c r="I143" s="11" t="s">
        <v>495</v>
      </c>
      <c r="J143" t="str">
        <f t="shared" si="2"/>
        <v>	(141, 'TKM'), </v>
      </c>
    </row>
    <row r="144" spans="7:10">
      <c r="G144" s="8">
        <v>142</v>
      </c>
      <c r="H144" s="9" t="s">
        <v>496</v>
      </c>
      <c r="I144" s="11" t="s">
        <v>497</v>
      </c>
      <c r="J144" t="str">
        <f t="shared" si="2"/>
        <v>	(142, 'BDI'), </v>
      </c>
    </row>
    <row r="145" spans="7:10">
      <c r="G145" s="8">
        <v>143</v>
      </c>
      <c r="H145" s="9" t="s">
        <v>498</v>
      </c>
      <c r="I145" s="11" t="s">
        <v>499</v>
      </c>
      <c r="J145" t="str">
        <f t="shared" si="2"/>
        <v>	(143, 'ETH'), </v>
      </c>
    </row>
    <row r="146" spans="7:10">
      <c r="G146" s="8">
        <v>144</v>
      </c>
      <c r="H146" s="9" t="s">
        <v>500</v>
      </c>
      <c r="I146" s="11" t="s">
        <v>501</v>
      </c>
      <c r="J146" t="str">
        <f t="shared" si="2"/>
        <v>	(144, 'DOM'), </v>
      </c>
    </row>
    <row r="147" spans="7:10">
      <c r="G147" s="8">
        <v>145</v>
      </c>
      <c r="H147" s="9" t="s">
        <v>502</v>
      </c>
      <c r="I147" s="11" t="s">
        <v>503</v>
      </c>
      <c r="J147" t="str">
        <f t="shared" si="2"/>
        <v>	(145, 'YEM'), </v>
      </c>
    </row>
    <row r="148" spans="7:10">
      <c r="G148" s="8">
        <v>146</v>
      </c>
      <c r="H148" s="9" t="s">
        <v>504</v>
      </c>
      <c r="I148" s="11" t="s">
        <v>505</v>
      </c>
      <c r="J148" t="str">
        <f t="shared" si="2"/>
        <v>	(146, 'LES'), </v>
      </c>
    </row>
    <row r="149" spans="7:10">
      <c r="G149" s="8">
        <v>147</v>
      </c>
      <c r="H149" s="9" t="s">
        <v>506</v>
      </c>
      <c r="I149" s="11" t="s">
        <v>507</v>
      </c>
      <c r="J149" t="str">
        <f t="shared" si="2"/>
        <v>	(147, 'BOT'), </v>
      </c>
    </row>
    <row r="150" spans="7:10">
      <c r="G150" s="8">
        <v>148</v>
      </c>
      <c r="H150" s="9" t="s">
        <v>508</v>
      </c>
      <c r="I150" s="11" t="s">
        <v>509</v>
      </c>
      <c r="J150" t="str">
        <f t="shared" si="2"/>
        <v>	(148, 'SIN'), </v>
      </c>
    </row>
    <row r="151" spans="7:10">
      <c r="G151" s="8">
        <v>149</v>
      </c>
      <c r="H151" s="9" t="s">
        <v>510</v>
      </c>
      <c r="I151" s="11" t="s">
        <v>511</v>
      </c>
      <c r="J151" t="str">
        <f t="shared" si="2"/>
        <v>	(149, 'LTU'), </v>
      </c>
    </row>
    <row r="152" spans="7:10">
      <c r="G152" s="8">
        <v>150</v>
      </c>
      <c r="H152" s="9" t="s">
        <v>512</v>
      </c>
      <c r="I152" s="11" t="s">
        <v>513</v>
      </c>
      <c r="J152" t="str">
        <f t="shared" si="2"/>
        <v>	(150, 'GUY'), </v>
      </c>
    </row>
    <row r="153" spans="7:10">
      <c r="G153" s="8">
        <v>151</v>
      </c>
      <c r="H153" s="9" t="s">
        <v>514</v>
      </c>
      <c r="I153" s="11" t="s">
        <v>515</v>
      </c>
      <c r="J153" t="str">
        <f t="shared" si="2"/>
        <v>	(151, 'NCL'), </v>
      </c>
    </row>
    <row r="154" spans="7:10">
      <c r="G154" s="8">
        <v>152</v>
      </c>
      <c r="H154" s="9" t="s">
        <v>516</v>
      </c>
      <c r="I154" s="11" t="s">
        <v>517</v>
      </c>
      <c r="J154" t="str">
        <f t="shared" si="2"/>
        <v>	(152, 'KNA'), </v>
      </c>
    </row>
    <row r="155" spans="7:10">
      <c r="G155" s="8">
        <v>153</v>
      </c>
      <c r="H155" s="9" t="s">
        <v>518</v>
      </c>
      <c r="I155" s="11" t="s">
        <v>519</v>
      </c>
      <c r="J155" t="str">
        <f t="shared" si="2"/>
        <v>	(153, 'SOL'), </v>
      </c>
    </row>
    <row r="156" spans="7:10">
      <c r="G156" s="8">
        <v>154</v>
      </c>
      <c r="H156" s="9" t="s">
        <v>520</v>
      </c>
      <c r="I156" s="11" t="s">
        <v>521</v>
      </c>
      <c r="J156" t="str">
        <f t="shared" si="2"/>
        <v>	(154, 'PUR'), </v>
      </c>
    </row>
    <row r="157" spans="7:10">
      <c r="G157" s="8">
        <v>155</v>
      </c>
      <c r="H157" s="9" t="s">
        <v>522</v>
      </c>
      <c r="I157" s="11" t="s">
        <v>523</v>
      </c>
      <c r="J157" t="str">
        <f t="shared" si="2"/>
        <v>	(155, 'FIJ'), </v>
      </c>
    </row>
    <row r="158" spans="7:10">
      <c r="G158" s="8">
        <v>156</v>
      </c>
      <c r="H158" s="9" t="s">
        <v>524</v>
      </c>
      <c r="I158" s="11" t="s">
        <v>525</v>
      </c>
      <c r="J158" t="str">
        <f t="shared" si="2"/>
        <v>	(156, 'HKG'), </v>
      </c>
    </row>
    <row r="159" spans="7:10">
      <c r="G159" s="8">
        <v>157</v>
      </c>
      <c r="H159" s="9" t="s">
        <v>526</v>
      </c>
      <c r="I159" s="11" t="s">
        <v>527</v>
      </c>
      <c r="J159" t="str">
        <f t="shared" si="2"/>
        <v>	(157, 'TAH'), </v>
      </c>
    </row>
    <row r="160" spans="7:10">
      <c r="G160" s="8">
        <v>158</v>
      </c>
      <c r="H160" s="9" t="s">
        <v>528</v>
      </c>
      <c r="I160" s="11" t="s">
        <v>529</v>
      </c>
      <c r="J160" t="str">
        <f t="shared" si="2"/>
        <v>	(158, 'MYA'), </v>
      </c>
    </row>
    <row r="161" spans="7:10">
      <c r="G161" s="8">
        <v>159</v>
      </c>
      <c r="H161" s="9" t="s">
        <v>530</v>
      </c>
      <c r="I161" s="11" t="s">
        <v>531</v>
      </c>
      <c r="J161" t="str">
        <f t="shared" si="2"/>
        <v>	(159, 'MDA'), </v>
      </c>
    </row>
    <row r="162" spans="7:10">
      <c r="G162" s="8">
        <v>160</v>
      </c>
      <c r="H162" s="9" t="s">
        <v>532</v>
      </c>
      <c r="I162" s="11" t="s">
        <v>533</v>
      </c>
      <c r="J162" t="str">
        <f t="shared" si="2"/>
        <v>	(160, 'VAN'), </v>
      </c>
    </row>
    <row r="163" spans="7:10">
      <c r="G163" s="8">
        <v>161</v>
      </c>
      <c r="H163" s="9" t="s">
        <v>534</v>
      </c>
      <c r="I163" s="11" t="s">
        <v>535</v>
      </c>
      <c r="J163" t="str">
        <f t="shared" si="2"/>
        <v>	(161, 'MLT'), </v>
      </c>
    </row>
    <row r="164" spans="7:10">
      <c r="G164" s="8">
        <v>162</v>
      </c>
      <c r="H164" s="9" t="s">
        <v>536</v>
      </c>
      <c r="I164" s="11" t="s">
        <v>537</v>
      </c>
      <c r="J164" t="str">
        <f t="shared" si="2"/>
        <v>	(162, 'ATG'), </v>
      </c>
    </row>
    <row r="165" spans="7:10">
      <c r="G165" s="8">
        <v>163</v>
      </c>
      <c r="H165" s="9" t="s">
        <v>538</v>
      </c>
      <c r="I165" s="11" t="s">
        <v>539</v>
      </c>
      <c r="J165" t="str">
        <f t="shared" si="2"/>
        <v>	(163, 'GRN'), </v>
      </c>
    </row>
    <row r="166" spans="7:10">
      <c r="G166" s="8">
        <v>164</v>
      </c>
      <c r="H166" s="9" t="s">
        <v>540</v>
      </c>
      <c r="I166" s="11" t="s">
        <v>541</v>
      </c>
      <c r="J166" t="str">
        <f t="shared" si="2"/>
        <v>	(164, 'CUB'), </v>
      </c>
    </row>
    <row r="167" spans="7:10">
      <c r="G167" s="8">
        <v>165</v>
      </c>
      <c r="H167" s="9" t="s">
        <v>542</v>
      </c>
      <c r="I167" s="11" t="s">
        <v>543</v>
      </c>
      <c r="J167" t="str">
        <f t="shared" si="2"/>
        <v>	(165, 'SWZ'), </v>
      </c>
    </row>
    <row r="168" spans="7:10">
      <c r="G168" s="8">
        <v>166</v>
      </c>
      <c r="H168" s="9" t="s">
        <v>544</v>
      </c>
      <c r="I168" s="11" t="s">
        <v>545</v>
      </c>
      <c r="J168" t="str">
        <f t="shared" si="2"/>
        <v>	(166, 'LCA'), </v>
      </c>
    </row>
    <row r="169" spans="7:10">
      <c r="G169" s="8">
        <v>167</v>
      </c>
      <c r="H169" s="9" t="s">
        <v>546</v>
      </c>
      <c r="I169" s="11" t="s">
        <v>547</v>
      </c>
      <c r="J169" t="str">
        <f t="shared" si="2"/>
        <v>	(167, 'BMU'), </v>
      </c>
    </row>
    <row r="170" spans="7:10">
      <c r="G170" s="8">
        <v>168</v>
      </c>
      <c r="H170" s="9" t="s">
        <v>548</v>
      </c>
      <c r="I170" s="11" t="s">
        <v>549</v>
      </c>
      <c r="J170" t="str">
        <f t="shared" si="2"/>
        <v>	(168, 'PNG'), </v>
      </c>
    </row>
    <row r="171" spans="7:10">
      <c r="G171" s="8">
        <v>169</v>
      </c>
      <c r="H171" s="9" t="s">
        <v>550</v>
      </c>
      <c r="I171" s="11" t="s">
        <v>551</v>
      </c>
      <c r="J171" t="str">
        <f t="shared" si="2"/>
        <v>	(169, 'SSD'), </v>
      </c>
    </row>
    <row r="172" spans="7:10">
      <c r="G172" s="8">
        <v>170</v>
      </c>
      <c r="H172" s="9" t="s">
        <v>552</v>
      </c>
      <c r="I172" s="11" t="s">
        <v>553</v>
      </c>
      <c r="J172" t="str">
        <f t="shared" si="2"/>
        <v>	(170, 'VCT'), </v>
      </c>
    </row>
    <row r="173" spans="7:10">
      <c r="G173" s="8">
        <v>171</v>
      </c>
      <c r="H173" s="9" t="s">
        <v>554</v>
      </c>
      <c r="I173" s="11" t="s">
        <v>555</v>
      </c>
      <c r="J173" t="str">
        <f t="shared" si="2"/>
        <v>	(171, 'AFG'), </v>
      </c>
    </row>
    <row r="174" spans="7:10">
      <c r="G174" s="8">
        <v>172</v>
      </c>
      <c r="H174" s="9" t="s">
        <v>556</v>
      </c>
      <c r="I174" s="11" t="s">
        <v>557</v>
      </c>
      <c r="J174" t="str">
        <f t="shared" si="2"/>
        <v>	(172, 'AND'), </v>
      </c>
    </row>
    <row r="175" spans="7:10">
      <c r="G175" s="8">
        <v>173</v>
      </c>
      <c r="H175" s="9" t="s">
        <v>558</v>
      </c>
      <c r="I175" s="11" t="s">
        <v>559</v>
      </c>
      <c r="J175" t="str">
        <f t="shared" si="2"/>
        <v>	(173, 'MDV'), </v>
      </c>
    </row>
    <row r="176" spans="7:10">
      <c r="G176" s="8">
        <v>174</v>
      </c>
      <c r="H176" s="9" t="s">
        <v>560</v>
      </c>
      <c r="I176" s="11" t="s">
        <v>561</v>
      </c>
      <c r="J176" t="str">
        <f t="shared" si="2"/>
        <v>	(174, 'TPE'), </v>
      </c>
    </row>
    <row r="177" spans="7:10">
      <c r="G177" s="8">
        <v>175</v>
      </c>
      <c r="H177" s="9" t="s">
        <v>562</v>
      </c>
      <c r="I177" s="11" t="s">
        <v>563</v>
      </c>
      <c r="J177" t="str">
        <f t="shared" si="2"/>
        <v>	(175, 'CAM'), </v>
      </c>
    </row>
    <row r="178" spans="7:10">
      <c r="G178" s="8">
        <v>176</v>
      </c>
      <c r="H178" s="9" t="s">
        <v>564</v>
      </c>
      <c r="I178" s="11" t="s">
        <v>565</v>
      </c>
      <c r="J178" t="str">
        <f t="shared" si="2"/>
        <v>	(176, 'MSR'), </v>
      </c>
    </row>
    <row r="179" spans="7:10">
      <c r="G179" s="8">
        <v>177</v>
      </c>
      <c r="H179" s="9" t="s">
        <v>566</v>
      </c>
      <c r="I179" s="11" t="s">
        <v>567</v>
      </c>
      <c r="J179" t="str">
        <f t="shared" si="2"/>
        <v>	(177, 'NEP'), </v>
      </c>
    </row>
    <row r="180" spans="7:10">
      <c r="G180" s="8">
        <v>178</v>
      </c>
      <c r="H180" s="9" t="s">
        <v>568</v>
      </c>
      <c r="I180" s="11" t="s">
        <v>569</v>
      </c>
      <c r="J180" t="str">
        <f t="shared" si="2"/>
        <v>	(178, 'MRI'), </v>
      </c>
    </row>
    <row r="181" spans="7:10">
      <c r="G181" s="8">
        <v>179</v>
      </c>
      <c r="H181" s="9" t="s">
        <v>570</v>
      </c>
      <c r="I181" s="11" t="s">
        <v>571</v>
      </c>
      <c r="J181" t="str">
        <f t="shared" si="2"/>
        <v>	(179, 'BAR'), </v>
      </c>
    </row>
    <row r="182" spans="7:10">
      <c r="G182" s="8">
        <v>180</v>
      </c>
      <c r="H182" s="9" t="s">
        <v>572</v>
      </c>
      <c r="I182" s="11" t="s">
        <v>573</v>
      </c>
      <c r="J182" t="str">
        <f t="shared" si="2"/>
        <v>	(180, 'BLZ'), </v>
      </c>
    </row>
    <row r="183" spans="7:10">
      <c r="G183" s="8">
        <v>181</v>
      </c>
      <c r="H183" s="9" t="s">
        <v>574</v>
      </c>
      <c r="I183" s="11" t="s">
        <v>575</v>
      </c>
      <c r="J183" t="str">
        <f t="shared" si="2"/>
        <v>	(181, 'BAN'), </v>
      </c>
    </row>
    <row r="184" spans="7:10">
      <c r="G184" s="8">
        <v>182</v>
      </c>
      <c r="H184" s="9" t="s">
        <v>576</v>
      </c>
      <c r="I184" s="11" t="s">
        <v>577</v>
      </c>
      <c r="J184" t="str">
        <f t="shared" si="2"/>
        <v>	(182, 'DMA'), </v>
      </c>
    </row>
    <row r="185" spans="7:10">
      <c r="G185" s="8">
        <v>183</v>
      </c>
      <c r="H185" s="9" t="s">
        <v>578</v>
      </c>
      <c r="I185" s="11" t="s">
        <v>579</v>
      </c>
      <c r="J185" t="str">
        <f t="shared" si="2"/>
        <v>	(183, 'CHA'), </v>
      </c>
    </row>
    <row r="186" spans="7:10">
      <c r="G186" s="8">
        <v>184</v>
      </c>
      <c r="H186" s="9" t="s">
        <v>580</v>
      </c>
      <c r="I186" s="11" t="s">
        <v>581</v>
      </c>
      <c r="J186" t="str">
        <f t="shared" si="2"/>
        <v>	(184, 'ERI'), </v>
      </c>
    </row>
    <row r="187" spans="7:10">
      <c r="G187" s="8">
        <v>185</v>
      </c>
      <c r="H187" s="9" t="s">
        <v>582</v>
      </c>
      <c r="I187" s="11" t="s">
        <v>583</v>
      </c>
      <c r="J187" t="str">
        <f t="shared" si="2"/>
        <v>	(185, 'LAO'), </v>
      </c>
    </row>
    <row r="188" spans="7:10">
      <c r="G188" s="8">
        <v>186</v>
      </c>
      <c r="H188" s="9" t="s">
        <v>584</v>
      </c>
      <c r="I188" s="11" t="s">
        <v>585</v>
      </c>
      <c r="J188" t="str">
        <f t="shared" si="2"/>
        <v>	(186, 'COK'), </v>
      </c>
    </row>
    <row r="189" spans="7:10">
      <c r="G189" s="8">
        <v>187</v>
      </c>
      <c r="H189" s="9" t="s">
        <v>586</v>
      </c>
      <c r="I189" s="11" t="s">
        <v>587</v>
      </c>
      <c r="J189" t="str">
        <f t="shared" si="2"/>
        <v>	(187, 'SRI'), </v>
      </c>
    </row>
    <row r="190" spans="7:10">
      <c r="G190" s="8">
        <v>188</v>
      </c>
      <c r="H190" s="9" t="s">
        <v>588</v>
      </c>
      <c r="I190" s="11" t="s">
        <v>589</v>
      </c>
      <c r="J190" t="str">
        <f t="shared" si="2"/>
        <v>	(188, 'SAM'), </v>
      </c>
    </row>
    <row r="191" spans="7:10">
      <c r="G191" s="8">
        <v>189</v>
      </c>
      <c r="H191" s="9" t="s">
        <v>590</v>
      </c>
      <c r="I191" s="11" t="s">
        <v>591</v>
      </c>
      <c r="J191" t="str">
        <f t="shared" si="2"/>
        <v>	(189, 'ARU'), </v>
      </c>
    </row>
    <row r="192" spans="7:10">
      <c r="G192" s="8">
        <v>190</v>
      </c>
      <c r="H192" s="9" t="s">
        <v>592</v>
      </c>
      <c r="I192" s="11" t="s">
        <v>593</v>
      </c>
      <c r="J192" t="str">
        <f t="shared" si="2"/>
        <v>	(190, 'MNG'), </v>
      </c>
    </row>
    <row r="193" spans="7:10">
      <c r="G193" s="8">
        <v>191</v>
      </c>
      <c r="H193" s="9" t="s">
        <v>594</v>
      </c>
      <c r="I193" s="11" t="s">
        <v>595</v>
      </c>
      <c r="J193" t="str">
        <f t="shared" si="2"/>
        <v>	(191, 'ASA'), </v>
      </c>
    </row>
    <row r="194" spans="7:10">
      <c r="G194" s="8">
        <v>192</v>
      </c>
      <c r="H194" s="9" t="s">
        <v>596</v>
      </c>
      <c r="I194" s="11" t="s">
        <v>597</v>
      </c>
      <c r="J194" t="str">
        <f t="shared" si="2"/>
        <v>	(192, 'BHU'), </v>
      </c>
    </row>
    <row r="195" spans="7:10">
      <c r="G195" s="8">
        <v>193</v>
      </c>
      <c r="H195" s="9" t="s">
        <v>598</v>
      </c>
      <c r="I195" s="11" t="s">
        <v>599</v>
      </c>
      <c r="J195" t="str">
        <f t="shared" ref="J195:J213" si="3">CHAR(9)&amp;"("&amp;G195&amp;", '"&amp;H195&amp;"'), "</f>
        <v>	(193, 'MAC'), </v>
      </c>
    </row>
    <row r="196" spans="7:10">
      <c r="G196" s="8">
        <v>194</v>
      </c>
      <c r="H196" s="9" t="s">
        <v>600</v>
      </c>
      <c r="I196" s="11" t="s">
        <v>601</v>
      </c>
      <c r="J196" t="str">
        <f t="shared" si="3"/>
        <v>	(194, 'BRU'), </v>
      </c>
    </row>
    <row r="197" spans="7:10">
      <c r="G197" s="8">
        <v>195</v>
      </c>
      <c r="H197" s="9" t="s">
        <v>602</v>
      </c>
      <c r="I197" s="11" t="s">
        <v>603</v>
      </c>
      <c r="J197" t="str">
        <f t="shared" si="3"/>
        <v>	(195, 'STP'), </v>
      </c>
    </row>
    <row r="198" spans="7:10">
      <c r="G198" s="8">
        <v>196</v>
      </c>
      <c r="H198" s="9" t="s">
        <v>604</v>
      </c>
      <c r="I198" s="11" t="s">
        <v>605</v>
      </c>
      <c r="J198" t="str">
        <f t="shared" si="3"/>
        <v>	(196, 'DJI'), </v>
      </c>
    </row>
    <row r="199" spans="7:10">
      <c r="G199" s="8">
        <v>197</v>
      </c>
      <c r="H199" s="9" t="s">
        <v>606</v>
      </c>
      <c r="I199" s="11" t="s">
        <v>607</v>
      </c>
      <c r="J199" t="str">
        <f t="shared" si="3"/>
        <v>	(197, 'CAY'), </v>
      </c>
    </row>
    <row r="200" spans="7:10">
      <c r="G200" s="8">
        <v>198</v>
      </c>
      <c r="H200" s="9" t="s">
        <v>608</v>
      </c>
      <c r="I200" s="11" t="s">
        <v>609</v>
      </c>
      <c r="J200" t="str">
        <f t="shared" si="3"/>
        <v>	(198, 'PAK'), </v>
      </c>
    </row>
    <row r="201" spans="7:10">
      <c r="G201" s="8">
        <v>199</v>
      </c>
      <c r="H201" s="9" t="s">
        <v>610</v>
      </c>
      <c r="I201" s="11" t="s">
        <v>611</v>
      </c>
      <c r="J201" t="str">
        <f t="shared" si="3"/>
        <v>	(199, 'SOM'), </v>
      </c>
    </row>
    <row r="202" spans="7:10">
      <c r="G202" s="8">
        <v>200</v>
      </c>
      <c r="H202" s="9" t="s">
        <v>612</v>
      </c>
      <c r="I202" s="11" t="s">
        <v>613</v>
      </c>
      <c r="J202" t="str">
        <f t="shared" si="3"/>
        <v>	(200, 'TGA'), </v>
      </c>
    </row>
    <row r="203" spans="7:10">
      <c r="G203" s="8">
        <v>201</v>
      </c>
      <c r="H203" s="9" t="s">
        <v>614</v>
      </c>
      <c r="I203" s="11" t="s">
        <v>615</v>
      </c>
      <c r="J203" t="str">
        <f t="shared" si="3"/>
        <v>	(201, 'TLS'), </v>
      </c>
    </row>
    <row r="204" spans="7:10">
      <c r="G204" s="8">
        <v>202</v>
      </c>
      <c r="H204" s="9" t="s">
        <v>616</v>
      </c>
      <c r="I204" s="11" t="s">
        <v>617</v>
      </c>
      <c r="J204" t="str">
        <f t="shared" si="3"/>
        <v>	(202, 'GIB'), </v>
      </c>
    </row>
    <row r="205" spans="7:10">
      <c r="G205" s="8">
        <v>203</v>
      </c>
      <c r="H205" s="9" t="s">
        <v>618</v>
      </c>
      <c r="I205" s="11" t="s">
        <v>619</v>
      </c>
      <c r="J205" t="str">
        <f t="shared" si="3"/>
        <v>	(203, 'GUM'), </v>
      </c>
    </row>
    <row r="206" spans="7:10">
      <c r="G206" s="8">
        <v>204</v>
      </c>
      <c r="H206" s="9" t="s">
        <v>620</v>
      </c>
      <c r="I206" s="11" t="s">
        <v>621</v>
      </c>
      <c r="J206" t="str">
        <f t="shared" si="3"/>
        <v>	(204, 'SEY'), </v>
      </c>
    </row>
    <row r="207" spans="7:10">
      <c r="G207" s="8">
        <v>205</v>
      </c>
      <c r="H207" s="9" t="s">
        <v>622</v>
      </c>
      <c r="I207" s="11" t="s">
        <v>623</v>
      </c>
      <c r="J207" t="str">
        <f t="shared" si="3"/>
        <v>	(205, 'TCA'), </v>
      </c>
    </row>
    <row r="208" spans="7:10">
      <c r="G208" s="8">
        <v>206</v>
      </c>
      <c r="H208" s="9" t="s">
        <v>624</v>
      </c>
      <c r="I208" s="11" t="s">
        <v>625</v>
      </c>
      <c r="J208" t="str">
        <f t="shared" si="3"/>
        <v>	(206, 'LIE'), </v>
      </c>
    </row>
    <row r="209" spans="7:10">
      <c r="G209" s="8">
        <v>207</v>
      </c>
      <c r="H209" s="9" t="s">
        <v>626</v>
      </c>
      <c r="I209" s="11" t="s">
        <v>627</v>
      </c>
      <c r="J209" t="str">
        <f t="shared" si="3"/>
        <v>	(207, 'BAH'), </v>
      </c>
    </row>
    <row r="210" spans="7:10">
      <c r="G210" s="8">
        <v>208</v>
      </c>
      <c r="H210" s="9" t="s">
        <v>628</v>
      </c>
      <c r="I210" s="11" t="s">
        <v>629</v>
      </c>
      <c r="J210" t="str">
        <f t="shared" si="3"/>
        <v>	(208, 'VIR'), </v>
      </c>
    </row>
    <row r="211" spans="7:10">
      <c r="G211" s="8">
        <v>209</v>
      </c>
      <c r="H211" s="9" t="s">
        <v>630</v>
      </c>
      <c r="I211" s="11" t="s">
        <v>631</v>
      </c>
      <c r="J211" t="str">
        <f t="shared" si="3"/>
        <v>	(209, 'VGB'), </v>
      </c>
    </row>
    <row r="212" spans="7:10">
      <c r="G212" s="8">
        <v>210</v>
      </c>
      <c r="H212" s="9" t="s">
        <v>632</v>
      </c>
      <c r="I212" s="11" t="s">
        <v>633</v>
      </c>
      <c r="J212" t="str">
        <f t="shared" si="3"/>
        <v>	(210, 'AIA'), </v>
      </c>
    </row>
    <row r="213" spans="7:10">
      <c r="G213" s="8">
        <v>211</v>
      </c>
      <c r="H213" s="9" t="s">
        <v>634</v>
      </c>
      <c r="I213" s="11" t="s">
        <v>635</v>
      </c>
      <c r="J213" t="str">
        <f>CHAR(9)&amp;"("&amp;G213&amp;", '"&amp;H213&amp;"')"</f>
        <v>	(211, 'SMR')</v>
      </c>
    </row>
    <row r="214" spans="10:10">
      <c r="J214" t="s">
        <v>168</v>
      </c>
    </row>
  </sheetData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4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8">
      <c r="B2" s="1" t="s">
        <v>31</v>
      </c>
      <c r="C2" s="1"/>
      <c r="D2" s="1"/>
      <c r="E2" s="2" t="s">
        <v>32</v>
      </c>
      <c r="H2" t="s">
        <v>636</v>
      </c>
    </row>
    <row r="3" spans="2:9">
      <c r="B3" s="3" t="s">
        <v>46</v>
      </c>
      <c r="C3" s="3"/>
      <c r="D3" s="3"/>
      <c r="E3" s="4" t="s">
        <v>47</v>
      </c>
      <c r="I3" t="s">
        <v>637</v>
      </c>
    </row>
    <row r="4" spans="2:9">
      <c r="B4" s="1" t="s">
        <v>33</v>
      </c>
      <c r="C4" s="1"/>
      <c r="D4" s="1"/>
      <c r="E4" s="1"/>
      <c r="I4" t="s">
        <v>638</v>
      </c>
    </row>
    <row r="5" spans="2:9">
      <c r="B5" s="3" t="s">
        <v>48</v>
      </c>
      <c r="C5" s="3"/>
      <c r="D5" s="3"/>
      <c r="E5" s="3"/>
      <c r="I5" t="s">
        <v>639</v>
      </c>
    </row>
    <row r="6" spans="8:8">
      <c r="H6" t="s">
        <v>640</v>
      </c>
    </row>
    <row r="7" spans="2:8">
      <c r="B7" s="5" t="s">
        <v>66</v>
      </c>
      <c r="C7" s="5" t="s">
        <v>67</v>
      </c>
      <c r="D7" s="5" t="s">
        <v>68</v>
      </c>
      <c r="E7" s="5" t="s">
        <v>33</v>
      </c>
      <c r="H7" t="s">
        <v>641</v>
      </c>
    </row>
    <row r="8" spans="2:8">
      <c r="B8" s="6" t="s">
        <v>185</v>
      </c>
      <c r="C8" s="4"/>
      <c r="D8" s="4"/>
      <c r="E8" s="6" t="s">
        <v>197</v>
      </c>
      <c r="H8" t="s">
        <v>642</v>
      </c>
    </row>
    <row r="9" customFormat="1" spans="2:8">
      <c r="B9" s="6" t="s">
        <v>170</v>
      </c>
      <c r="C9" s="4"/>
      <c r="D9" s="4"/>
      <c r="E9" s="6" t="s">
        <v>179</v>
      </c>
      <c r="H9" t="s">
        <v>643</v>
      </c>
    </row>
    <row r="10" spans="2:8">
      <c r="B10" s="6" t="s">
        <v>307</v>
      </c>
      <c r="C10" s="4"/>
      <c r="D10" s="4"/>
      <c r="E10" s="6" t="s">
        <v>309</v>
      </c>
      <c r="H10" t="s">
        <v>644</v>
      </c>
    </row>
    <row r="11" customFormat="1" spans="2:8">
      <c r="B11" s="6" t="s">
        <v>213</v>
      </c>
      <c r="C11" s="4"/>
      <c r="D11" s="4"/>
      <c r="E11" s="6" t="s">
        <v>226</v>
      </c>
      <c r="H11" t="s">
        <v>645</v>
      </c>
    </row>
    <row r="12" customFormat="1" spans="2:8">
      <c r="B12" s="6"/>
      <c r="C12" s="4"/>
      <c r="D12" s="4"/>
      <c r="E12" s="6" t="s">
        <v>646</v>
      </c>
      <c r="H12" t="s">
        <v>647</v>
      </c>
    </row>
    <row r="13" customFormat="1" spans="2:8">
      <c r="B13" s="6"/>
      <c r="C13" s="4"/>
      <c r="D13" s="4"/>
      <c r="E13" s="6" t="s">
        <v>648</v>
      </c>
      <c r="H13" t="s">
        <v>649</v>
      </c>
    </row>
    <row r="14" customFormat="1" spans="2:8">
      <c r="B14" s="6"/>
      <c r="C14" s="4"/>
      <c r="D14" s="4"/>
      <c r="E14" s="6" t="s">
        <v>650</v>
      </c>
      <c r="H14" t="s">
        <v>173</v>
      </c>
    </row>
    <row r="15" spans="2:9">
      <c r="B15" s="6"/>
      <c r="C15" s="4"/>
      <c r="D15" s="4"/>
      <c r="E15" s="6" t="s">
        <v>651</v>
      </c>
      <c r="I15" t="s">
        <v>174</v>
      </c>
    </row>
    <row r="16" customFormat="1" spans="2:9">
      <c r="B16" s="6"/>
      <c r="C16" s="4"/>
      <c r="D16" s="4"/>
      <c r="E16" s="6" t="s">
        <v>652</v>
      </c>
      <c r="I16" t="s">
        <v>175</v>
      </c>
    </row>
    <row r="17" customFormat="1" spans="2:9">
      <c r="B17" s="6"/>
      <c r="C17" s="4"/>
      <c r="D17" s="4"/>
      <c r="E17" s="6" t="s">
        <v>653</v>
      </c>
      <c r="I17" t="s">
        <v>176</v>
      </c>
    </row>
    <row r="18" customFormat="1" spans="2:9">
      <c r="B18" s="6"/>
      <c r="C18" s="4"/>
      <c r="D18" s="4"/>
      <c r="E18" s="6" t="s">
        <v>654</v>
      </c>
      <c r="I18" t="s">
        <v>177</v>
      </c>
    </row>
    <row r="19" spans="2:9">
      <c r="B19" s="6"/>
      <c r="C19" s="4"/>
      <c r="D19" s="4"/>
      <c r="E19" s="6" t="s">
        <v>655</v>
      </c>
      <c r="I19" t="s">
        <v>178</v>
      </c>
    </row>
    <row r="20" spans="2:8">
      <c r="B20" s="6"/>
      <c r="C20" s="4"/>
      <c r="D20" s="4"/>
      <c r="E20" s="6"/>
      <c r="H20" t="s">
        <v>656</v>
      </c>
    </row>
    <row r="21" spans="8:8">
      <c r="H21" t="s">
        <v>45</v>
      </c>
    </row>
    <row r="23" spans="8:8">
      <c r="H23" t="s">
        <v>657</v>
      </c>
    </row>
    <row r="24" spans="8:8">
      <c r="H24" t="s">
        <v>658</v>
      </c>
    </row>
  </sheetData>
  <pageMargins left="0.75" right="0.75" top="1" bottom="1" header="0.5" footer="0.5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12"/>
  <sheetViews>
    <sheetView workbookViewId="0">
      <selection activeCell="A1" sqref="A1"/>
    </sheetView>
  </sheetViews>
  <sheetFormatPr defaultColWidth="3.77777777777778" defaultRowHeight="18.75" outlineLevelCol="4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5">
      <c r="B2" s="1" t="s">
        <v>31</v>
      </c>
      <c r="C2" s="1"/>
      <c r="D2" s="1"/>
      <c r="E2" s="2" t="s">
        <v>32</v>
      </c>
    </row>
    <row r="3" spans="2:5">
      <c r="B3" s="3" t="s">
        <v>49</v>
      </c>
      <c r="C3" s="3"/>
      <c r="D3" s="3"/>
      <c r="E3" s="4" t="s">
        <v>47</v>
      </c>
    </row>
    <row r="4" spans="2:5">
      <c r="B4" s="1" t="s">
        <v>33</v>
      </c>
      <c r="C4" s="1"/>
      <c r="D4" s="1"/>
      <c r="E4" s="1"/>
    </row>
    <row r="5" spans="2:5">
      <c r="B5" s="3" t="s">
        <v>50</v>
      </c>
      <c r="C5" s="3"/>
      <c r="D5" s="3"/>
      <c r="E5" s="3"/>
    </row>
    <row r="7" spans="2:5">
      <c r="B7" s="5" t="s">
        <v>66</v>
      </c>
      <c r="C7" s="5" t="s">
        <v>67</v>
      </c>
      <c r="D7" s="5" t="s">
        <v>68</v>
      </c>
      <c r="E7" s="5" t="s">
        <v>33</v>
      </c>
    </row>
    <row r="8" spans="2:5">
      <c r="B8" s="6" t="s">
        <v>659</v>
      </c>
      <c r="C8" s="4"/>
      <c r="D8" s="4"/>
      <c r="E8" s="6" t="s">
        <v>660</v>
      </c>
    </row>
    <row r="9" spans="2:5">
      <c r="B9" s="6" t="s">
        <v>661</v>
      </c>
      <c r="C9" s="4"/>
      <c r="D9" s="4"/>
      <c r="E9" s="6" t="s">
        <v>662</v>
      </c>
    </row>
    <row r="10" spans="2:5">
      <c r="B10" s="6" t="s">
        <v>663</v>
      </c>
      <c r="C10" s="4"/>
      <c r="D10" s="4"/>
      <c r="E10" s="6" t="s">
        <v>664</v>
      </c>
    </row>
    <row r="11" spans="2:5">
      <c r="B11" s="6"/>
      <c r="C11" s="4"/>
      <c r="D11" s="4"/>
      <c r="E11" s="6"/>
    </row>
    <row r="12" spans="2:5">
      <c r="B12" s="6"/>
      <c r="C12" s="4"/>
      <c r="D12" s="4"/>
      <c r="E12" s="6"/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SQLite</vt:lpstr>
      <vt:lpstr>コマンド集</vt:lpstr>
      <vt:lpstr>テーブル一覧</vt:lpstr>
      <vt:lpstr>MATCH</vt:lpstr>
      <vt:lpstr>MATCH_TEAM</vt:lpstr>
      <vt:lpstr>GROUP</vt:lpstr>
      <vt:lpstr>TEAM</vt:lpstr>
      <vt:lpstr>FIFARANK</vt:lpstr>
      <vt:lpstr>SCORE_SHEET</vt:lpstr>
      <vt:lpstr>RESULTS_STATS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みずき</dc:creator>
  <cp:lastModifiedBy>みずき</cp:lastModifiedBy>
  <dcterms:created xsi:type="dcterms:W3CDTF">2026-06-19T07:26:00Z</dcterms:created>
  <dcterms:modified xsi:type="dcterms:W3CDTF">2026-06-23T08:39:53Z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EEBC944A979041AB8D494D908BC67D89_11</vt:lpwstr>
  </property>
  <property fmtid="{D5CDD505-2E9C-101B-9397-08002B2CF9AE}" pid="3" name="KSOProductBuildVer">
    <vt:lpwstr>1041-12.2.0.21931</vt:lpwstr>
  </property>
</Properties>
</file>