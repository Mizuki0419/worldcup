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5" activeTab="12"/>
  </bookViews>
  <sheets>
    <sheet name="SQLite" sheetId="3" r:id="rId1"/>
    <sheet name="コマンド集" sheetId="1" r:id="rId2"/>
    <sheet name="テーブル一覧" sheetId="2" r:id="rId3"/>
    <sheet name="MATCHES" sheetId="4" r:id="rId4"/>
    <sheet name="MATCH_TEAM" sheetId="6" r:id="rId5"/>
    <sheet name="GROUPSTAGE" sheetId="7" r:id="rId6"/>
    <sheet name="TEAM" sheetId="8" r:id="rId7"/>
    <sheet name="FIFARANK" sheetId="11" r:id="rId8"/>
    <sheet name="SCORE_SHEET" sheetId="9" r:id="rId9"/>
    <sheet name="GROUP_RANK" sheetId="13" r:id="rId10"/>
    <sheet name="GROUP_RANK0" sheetId="14" r:id="rId11"/>
    <sheet name="GROUP_RANK1" sheetId="15" r:id="rId12"/>
    <sheet name="GROUP_RANK2" sheetId="16" r:id="rId13"/>
    <sheet name="GROUP_RANK3" sheetId="17" r:id="rId14"/>
    <sheet name="EIGHT_OF_THIRD" sheetId="12" r:id="rId15"/>
    <sheet name="RESULTS_STATS" sheetId="10" r:id="rId16"/>
  </sheets>
  <definedNames>
    <definedName name="_xlnm._FilterDatabase" localSheetId="3" hidden="1">MATCHES!$A$107:$K$107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みずき</author>
  </authors>
  <commentList>
    <comment ref="H2" authorId="0">
      <text>
        <r>
          <rPr>
            <sz val="9"/>
            <rFont val="ＭＳ Ｐゴシック"/>
            <charset val="128"/>
          </rPr>
          <t>1:グループステージ
2:ノックアウトステージ</t>
        </r>
      </text>
    </comment>
  </commentList>
</comments>
</file>

<file path=xl/sharedStrings.xml><?xml version="1.0" encoding="utf-8"?>
<sst xmlns="http://schemas.openxmlformats.org/spreadsheetml/2006/main" count="2354" uniqueCount="860">
  <si>
    <t>DB名</t>
  </si>
  <si>
    <t>worldcup</t>
  </si>
  <si>
    <t>テーブル名は大文字</t>
  </si>
  <si>
    <t>カラム名は小文字とする</t>
  </si>
  <si>
    <t>DB接続</t>
  </si>
  <si>
    <t>cd C:\Program Files\sqlite</t>
  </si>
  <si>
    <t>sqlite3 C:\Users\naked\OneDrive\Documents\GitHub\worldcup\DB\worldcup.sqlite3</t>
  </si>
  <si>
    <t>コマンドプロンプトで実行する（PowerShellだとダメ）</t>
  </si>
  <si>
    <t>VSCodeで実行する場合</t>
  </si>
  <si>
    <t>コマンドパレットを開く（Ctrl+Shift+P）</t>
  </si>
  <si>
    <t>「SQLite: Open Database」を選択</t>
  </si>
  <si>
    <t>対象のファイルを選ぶ</t>
  </si>
  <si>
    <t>「SQLITE EXPLORER」でデータを参照したり</t>
  </si>
  <si>
    <t>SQLを右クリックして「Run Query」でSQLを実行したり</t>
  </si>
  <si>
    <t>空き領域の解放</t>
  </si>
  <si>
    <t>VACUUM;</t>
  </si>
  <si>
    <t>テーブルの一覧を表示</t>
  </si>
  <si>
    <t>.table</t>
  </si>
  <si>
    <t>テーブルの定義を表示</t>
  </si>
  <si>
    <t>.schema テーブル名</t>
  </si>
  <si>
    <t>設定を確認</t>
  </si>
  <si>
    <t>.show</t>
  </si>
  <si>
    <t>SQLファイルを実行</t>
  </si>
  <si>
    <t>.read FILENAME</t>
  </si>
  <si>
    <t>テーブル作成</t>
  </si>
  <si>
    <t>.read C:\Users\naked\OneDrive\Documents\GitHub\worldcup\table\MATCHES.sql</t>
  </si>
  <si>
    <t>.read C:\Users\naked\OneDrive\Documents\GitHub\worldcup\table\MATCH_TEAM.sql</t>
  </si>
  <si>
    <t>.read C:\Users\naked\OneDrive\Documents\GitHub\worldcup\table\GROUPSTAGE.sql</t>
  </si>
  <si>
    <t>.read C:\Users\naked\OneDrive\Documents\GitHub\worldcup\table\TEAM.sql</t>
  </si>
  <si>
    <t>.read C:\Users\naked\OneDrive\Documents\GitHub\worldcup\table\FIFARANK.sql</t>
  </si>
  <si>
    <t>.read C:\Users\naked\OneDrive\Documents\GitHub\worldcup\table\SCORE_SHEET.sql</t>
  </si>
  <si>
    <t>.read C:\Users\naked\OneDrive\Documents\GitHub\worldcup\table\RESULTS_STATS.sql</t>
  </si>
  <si>
    <t>x</t>
  </si>
  <si>
    <t>DB内のオブジェクトの一覧</t>
  </si>
  <si>
    <t>テーブルだけでなくビューも管理する</t>
  </si>
  <si>
    <t>あればトリガーもここで管理する</t>
  </si>
  <si>
    <t>インデックスなど1つのテーブルに依存するものはテーブル定義で管理する</t>
  </si>
  <si>
    <t>オブジェクト名</t>
  </si>
  <si>
    <t>種別</t>
  </si>
  <si>
    <t>説明</t>
  </si>
  <si>
    <t>MATCHES</t>
  </si>
  <si>
    <t>トラン</t>
  </si>
  <si>
    <t>試合</t>
  </si>
  <si>
    <t>MATCH_TEAM</t>
  </si>
  <si>
    <t>試合に参加したチーム</t>
  </si>
  <si>
    <t>GROUPSTAGE</t>
  </si>
  <si>
    <t>マスタ</t>
  </si>
  <si>
    <t>グループのマスタ</t>
  </si>
  <si>
    <t>TEAM</t>
  </si>
  <si>
    <t>チームのマスタ</t>
  </si>
  <si>
    <t>FIFARANK</t>
  </si>
  <si>
    <t>FIFAランク</t>
  </si>
  <si>
    <t>SCORE_SHEET</t>
  </si>
  <si>
    <t>ビュー</t>
  </si>
  <si>
    <t>星取表</t>
  </si>
  <si>
    <t>GROUP_RANK</t>
  </si>
  <si>
    <t>GROUP_RANK0</t>
  </si>
  <si>
    <t>GROUP_RANK1</t>
  </si>
  <si>
    <t>TMP</t>
  </si>
  <si>
    <t>GROUP_RANK2</t>
  </si>
  <si>
    <t>GROUP_RANK3</t>
  </si>
  <si>
    <t>EIGHT_OF_THIRD</t>
  </si>
  <si>
    <t>3位チームの上位8チーム</t>
  </si>
  <si>
    <t>RESULTS_STATS</t>
  </si>
  <si>
    <t>点差ごとの試合結果の統計</t>
  </si>
  <si>
    <t>match_id</t>
  </si>
  <si>
    <t>match_kbn</t>
  </si>
  <si>
    <t>match_date</t>
  </si>
  <si>
    <t>venue</t>
  </si>
  <si>
    <t>INSERT INTO MATCHES (match_id, match_kbn, match_date, venue) VALUES</t>
  </si>
  <si>
    <t>001</t>
  </si>
  <si>
    <t>1</t>
  </si>
  <si>
    <t>202606120400</t>
  </si>
  <si>
    <t>メキシコシティ</t>
  </si>
  <si>
    <t>002</t>
  </si>
  <si>
    <t>202606121100</t>
  </si>
  <si>
    <t>グアダラハラ</t>
  </si>
  <si>
    <t>003</t>
  </si>
  <si>
    <t>202606130400</t>
  </si>
  <si>
    <t>トロント</t>
  </si>
  <si>
    <t>004</t>
  </si>
  <si>
    <t>202606131000</t>
  </si>
  <si>
    <t>ロサンゼルス</t>
  </si>
  <si>
    <t>カラム名</t>
  </si>
  <si>
    <t>PK</t>
  </si>
  <si>
    <t>型</t>
  </si>
  <si>
    <t>005</t>
  </si>
  <si>
    <t>202606140400</t>
  </si>
  <si>
    <t>サンフランシスコ・ベイエリア</t>
  </si>
  <si>
    <t>○</t>
  </si>
  <si>
    <t>TEXT</t>
  </si>
  <si>
    <t>試合のキー</t>
  </si>
  <si>
    <t>006</t>
  </si>
  <si>
    <t>202606140700</t>
  </si>
  <si>
    <t>ニュー・ジャージー</t>
  </si>
  <si>
    <t>グループかノックアウトかの区分</t>
  </si>
  <si>
    <t>007</t>
  </si>
  <si>
    <t>202606141000</t>
  </si>
  <si>
    <t>ボストン</t>
  </si>
  <si>
    <t>試合が行われた日時（日本時間）YYYYMMDDhhmm</t>
  </si>
  <si>
    <t>008</t>
  </si>
  <si>
    <t>202606141300</t>
  </si>
  <si>
    <t>バンクーバー</t>
  </si>
  <si>
    <t>試合が行われた会場</t>
  </si>
  <si>
    <t>009</t>
  </si>
  <si>
    <t>202606150200</t>
  </si>
  <si>
    <t>ヒューストン</t>
  </si>
  <si>
    <t>010</t>
  </si>
  <si>
    <t>202606150500</t>
  </si>
  <si>
    <t>ダラス</t>
  </si>
  <si>
    <t>011</t>
  </si>
  <si>
    <t>202606150800</t>
  </si>
  <si>
    <t>フィラデルフィア</t>
  </si>
  <si>
    <t>012</t>
  </si>
  <si>
    <t>202606151100</t>
  </si>
  <si>
    <t>モンテレー</t>
  </si>
  <si>
    <t>013</t>
  </si>
  <si>
    <t>202606160100</t>
  </si>
  <si>
    <t>アトランタ</t>
  </si>
  <si>
    <t>014</t>
  </si>
  <si>
    <t>202606160400</t>
  </si>
  <si>
    <t>シアトル</t>
  </si>
  <si>
    <t>015</t>
  </si>
  <si>
    <t>202606160700</t>
  </si>
  <si>
    <t>マイアミ</t>
  </si>
  <si>
    <t>016</t>
  </si>
  <si>
    <t>202606161000</t>
  </si>
  <si>
    <t>017</t>
  </si>
  <si>
    <t>202606170400</t>
  </si>
  <si>
    <t>018</t>
  </si>
  <si>
    <t>202606170700</t>
  </si>
  <si>
    <t>019</t>
  </si>
  <si>
    <t>202606171000</t>
  </si>
  <si>
    <t>カンザス</t>
  </si>
  <si>
    <t>020</t>
  </si>
  <si>
    <t>202606171300</t>
  </si>
  <si>
    <t>021</t>
  </si>
  <si>
    <t>202606180200</t>
  </si>
  <si>
    <t>022</t>
  </si>
  <si>
    <t>202606180500</t>
  </si>
  <si>
    <t>023</t>
  </si>
  <si>
    <t>202606180800</t>
  </si>
  <si>
    <t>024</t>
  </si>
  <si>
    <t>202606181100</t>
  </si>
  <si>
    <t>025</t>
  </si>
  <si>
    <t>202606190100</t>
  </si>
  <si>
    <t>026</t>
  </si>
  <si>
    <t>202606190400</t>
  </si>
  <si>
    <t>027</t>
  </si>
  <si>
    <t>202606190700</t>
  </si>
  <si>
    <t>028</t>
  </si>
  <si>
    <t>202606191000</t>
  </si>
  <si>
    <t>029</t>
  </si>
  <si>
    <t>202606200400</t>
  </si>
  <si>
    <t>030</t>
  </si>
  <si>
    <t>202606200700</t>
  </si>
  <si>
    <t>031</t>
  </si>
  <si>
    <t>202606200930</t>
  </si>
  <si>
    <t>032</t>
  </si>
  <si>
    <t>202606201200</t>
  </si>
  <si>
    <t>033</t>
  </si>
  <si>
    <t>202606210200</t>
  </si>
  <si>
    <t>034</t>
  </si>
  <si>
    <t>202606210500</t>
  </si>
  <si>
    <t>035</t>
  </si>
  <si>
    <t>202606210900</t>
  </si>
  <si>
    <t>036</t>
  </si>
  <si>
    <t>202606211300</t>
  </si>
  <si>
    <t>037</t>
  </si>
  <si>
    <t>202606220100</t>
  </si>
  <si>
    <t>038</t>
  </si>
  <si>
    <t>202606220400</t>
  </si>
  <si>
    <t>039</t>
  </si>
  <si>
    <t>202606220700</t>
  </si>
  <si>
    <t>040</t>
  </si>
  <si>
    <t>202606221000</t>
  </si>
  <si>
    <t>041</t>
  </si>
  <si>
    <t>202606230200</t>
  </si>
  <si>
    <t>042</t>
  </si>
  <si>
    <t>202606230600</t>
  </si>
  <si>
    <t>043</t>
  </si>
  <si>
    <t>202606230900</t>
  </si>
  <si>
    <t>044</t>
  </si>
  <si>
    <t>202606231200</t>
  </si>
  <si>
    <t>045</t>
  </si>
  <si>
    <t>202606240200</t>
  </si>
  <si>
    <t>046</t>
  </si>
  <si>
    <t>202606240500</t>
  </si>
  <si>
    <t>047</t>
  </si>
  <si>
    <t>202606240800</t>
  </si>
  <si>
    <t>048</t>
  </si>
  <si>
    <t>202606241100</t>
  </si>
  <si>
    <t>049</t>
  </si>
  <si>
    <t>202606250400</t>
  </si>
  <si>
    <t>050</t>
  </si>
  <si>
    <t>051</t>
  </si>
  <si>
    <t>202606250700</t>
  </si>
  <si>
    <t>052</t>
  </si>
  <si>
    <t>053</t>
  </si>
  <si>
    <t>202606251000</t>
  </si>
  <si>
    <t>054</t>
  </si>
  <si>
    <t>055</t>
  </si>
  <si>
    <t>202606260500</t>
  </si>
  <si>
    <t>056</t>
  </si>
  <si>
    <t>057</t>
  </si>
  <si>
    <t>202606260800</t>
  </si>
  <si>
    <t>058</t>
  </si>
  <si>
    <t>059</t>
  </si>
  <si>
    <t>202606261100</t>
  </si>
  <si>
    <t>060</t>
  </si>
  <si>
    <t>061</t>
  </si>
  <si>
    <t>202606270400</t>
  </si>
  <si>
    <t>062</t>
  </si>
  <si>
    <t>063</t>
  </si>
  <si>
    <t>202606270900</t>
  </si>
  <si>
    <t>064</t>
  </si>
  <si>
    <t>065</t>
  </si>
  <si>
    <t>202606271200</t>
  </si>
  <si>
    <t>066</t>
  </si>
  <si>
    <t>067</t>
  </si>
  <si>
    <t>202606280600</t>
  </si>
  <si>
    <t>068</t>
  </si>
  <si>
    <t>069</t>
  </si>
  <si>
    <t>202606280830</t>
  </si>
  <si>
    <t>070</t>
  </si>
  <si>
    <t>071</t>
  </si>
  <si>
    <t>202606281100</t>
  </si>
  <si>
    <t>072</t>
  </si>
  <si>
    <t>073</t>
  </si>
  <si>
    <t>2</t>
  </si>
  <si>
    <t>202606290400</t>
  </si>
  <si>
    <t>074</t>
  </si>
  <si>
    <t>202606300200</t>
  </si>
  <si>
    <t>075</t>
  </si>
  <si>
    <t>202606300530</t>
  </si>
  <si>
    <t>076</t>
  </si>
  <si>
    <t>202606301000</t>
  </si>
  <si>
    <t>077</t>
  </si>
  <si>
    <t>202607010200</t>
  </si>
  <si>
    <t>078</t>
  </si>
  <si>
    <t>202607010600</t>
  </si>
  <si>
    <t>079</t>
  </si>
  <si>
    <t>202607011100</t>
  </si>
  <si>
    <t>080</t>
  </si>
  <si>
    <t>202607020100</t>
  </si>
  <si>
    <t>081</t>
  </si>
  <si>
    <t>202607020500</t>
  </si>
  <si>
    <t>082</t>
  </si>
  <si>
    <t>202607020900</t>
  </si>
  <si>
    <t>083</t>
  </si>
  <si>
    <t>202607030400</t>
  </si>
  <si>
    <t>084</t>
  </si>
  <si>
    <t>202607030800</t>
  </si>
  <si>
    <t>085</t>
  </si>
  <si>
    <t>202607031200</t>
  </si>
  <si>
    <t>086</t>
  </si>
  <si>
    <t>202607040300</t>
  </si>
  <si>
    <t>087</t>
  </si>
  <si>
    <t>202607040700</t>
  </si>
  <si>
    <t>088</t>
  </si>
  <si>
    <t>202607041030</t>
  </si>
  <si>
    <t>089</t>
  </si>
  <si>
    <t>202607050200</t>
  </si>
  <si>
    <t>090</t>
  </si>
  <si>
    <t>202607050600</t>
  </si>
  <si>
    <t>091</t>
  </si>
  <si>
    <t>202607060500</t>
  </si>
  <si>
    <t>092</t>
  </si>
  <si>
    <t>202607061000</t>
  </si>
  <si>
    <t>093</t>
  </si>
  <si>
    <t>202607070400</t>
  </si>
  <si>
    <t>094</t>
  </si>
  <si>
    <t>202607070900</t>
  </si>
  <si>
    <t>095</t>
  </si>
  <si>
    <t>202607080100</t>
  </si>
  <si>
    <t>096</t>
  </si>
  <si>
    <t>202607080500</t>
  </si>
  <si>
    <t>097</t>
  </si>
  <si>
    <t>202607100500</t>
  </si>
  <si>
    <t>098</t>
  </si>
  <si>
    <t>202607110400</t>
  </si>
  <si>
    <t>099</t>
  </si>
  <si>
    <t>202607120600</t>
  </si>
  <si>
    <t>100</t>
  </si>
  <si>
    <t>202607121000</t>
  </si>
  <si>
    <t>101</t>
  </si>
  <si>
    <t>202607150400</t>
  </si>
  <si>
    <t>102</t>
  </si>
  <si>
    <t>202607160400</t>
  </si>
  <si>
    <t>103</t>
  </si>
  <si>
    <t>202607190600</t>
  </si>
  <si>
    <t>104</t>
  </si>
  <si>
    <t>202607200400</t>
  </si>
  <si>
    <t>;</t>
  </si>
  <si>
    <t>team_id</t>
  </si>
  <si>
    <t>score</t>
  </si>
  <si>
    <t>pk_score</t>
  </si>
  <si>
    <t>conduct_score</t>
  </si>
  <si>
    <t>INSERT INTO MATCH_TEAM (match_id, team_id, score, pk_score, conduct_score) VALUES</t>
  </si>
  <si>
    <t>→WORK</t>
  </si>
  <si>
    <t>MEX</t>
  </si>
  <si>
    <t>NULL</t>
  </si>
  <si>
    <t>メキシコ</t>
  </si>
  <si>
    <t>規律ポイント</t>
  </si>
  <si>
    <t>RSA</t>
  </si>
  <si>
    <t>南アフリカ</t>
  </si>
  <si>
    <t>警告（イエロー1枚）：-1</t>
  </si>
  <si>
    <t>KOR</t>
  </si>
  <si>
    <t>大韓民国</t>
  </si>
  <si>
    <t>退場（イエロー2枚）：-3</t>
  </si>
  <si>
    <t>CZE</t>
  </si>
  <si>
    <t>チェコ共和国</t>
  </si>
  <si>
    <t>一発退場（一発レッド）：-4</t>
  </si>
  <si>
    <t>CAN</t>
  </si>
  <si>
    <t>カナダ</t>
  </si>
  <si>
    <t>警告からの一発退場（イエロー＋一発レッド）：-5</t>
  </si>
  <si>
    <t>BIH</t>
  </si>
  <si>
    <t>ボスニア・ヘルツェゴビナ</t>
  </si>
  <si>
    <t>1試合につき、選手またはチーム関係者に適用される減点は、上記のうち1つに限られる。</t>
  </si>
  <si>
    <t>チームのキー　FIFAコード</t>
  </si>
  <si>
    <t>USA</t>
  </si>
  <si>
    <t>アメリカ合衆国</t>
  </si>
  <si>
    <t>INT</t>
  </si>
  <si>
    <t>得点</t>
  </si>
  <si>
    <t>PAR</t>
  </si>
  <si>
    <t>パラグアイ</t>
  </si>
  <si>
    <t>PK戦のスコア</t>
  </si>
  <si>
    <t>QAT</t>
  </si>
  <si>
    <t>カタール</t>
  </si>
  <si>
    <t>規律ポイント　TCS(Team Conduct Score)</t>
  </si>
  <si>
    <t>SUI</t>
  </si>
  <si>
    <t>スイス</t>
  </si>
  <si>
    <t>BRA</t>
  </si>
  <si>
    <t>ブラジル</t>
  </si>
  <si>
    <t>MAR</t>
  </si>
  <si>
    <t>モロッコ</t>
  </si>
  <si>
    <t>HAI</t>
  </si>
  <si>
    <t>ハイチ</t>
  </si>
  <si>
    <t>SCO</t>
  </si>
  <si>
    <t>スコットランド</t>
  </si>
  <si>
    <t>AUS</t>
  </si>
  <si>
    <t>オーストラリア</t>
  </si>
  <si>
    <t>TUR</t>
  </si>
  <si>
    <t>トルコ</t>
  </si>
  <si>
    <t>GER</t>
  </si>
  <si>
    <t>ドイツ</t>
  </si>
  <si>
    <t>CUW</t>
  </si>
  <si>
    <t>キュラソー</t>
  </si>
  <si>
    <t>NED</t>
  </si>
  <si>
    <t>オランダ</t>
  </si>
  <si>
    <t>JPN</t>
  </si>
  <si>
    <t>日本</t>
  </si>
  <si>
    <t>CIV</t>
  </si>
  <si>
    <t>コートジボワール</t>
  </si>
  <si>
    <t>ECU</t>
  </si>
  <si>
    <t>エクアドル</t>
  </si>
  <si>
    <t>SWE</t>
  </si>
  <si>
    <t>スウェーデン</t>
  </si>
  <si>
    <t>TUN</t>
  </si>
  <si>
    <t>チュニジア</t>
  </si>
  <si>
    <t>ESP</t>
  </si>
  <si>
    <t>スペイン</t>
  </si>
  <si>
    <t>CPV</t>
  </si>
  <si>
    <t>カーボベルデ</t>
  </si>
  <si>
    <t>BEL</t>
  </si>
  <si>
    <t>ベルギー</t>
  </si>
  <si>
    <t>EGY</t>
  </si>
  <si>
    <t>エジプト</t>
  </si>
  <si>
    <t>KSA</t>
  </si>
  <si>
    <t>サウジアラビア</t>
  </si>
  <si>
    <t>URU</t>
  </si>
  <si>
    <t>ウルグアイ</t>
  </si>
  <si>
    <t>IRN</t>
  </si>
  <si>
    <t>イラン</t>
  </si>
  <si>
    <t>NZL</t>
  </si>
  <si>
    <t>ニュージーランド</t>
  </si>
  <si>
    <t>FRA</t>
  </si>
  <si>
    <t>フランス</t>
  </si>
  <si>
    <t>SEN</t>
  </si>
  <si>
    <t>セネガル</t>
  </si>
  <si>
    <t>IRQ</t>
  </si>
  <si>
    <t>イラク</t>
  </si>
  <si>
    <t>NOR</t>
  </si>
  <si>
    <t>ノルウェー</t>
  </si>
  <si>
    <t>ARG</t>
  </si>
  <si>
    <t>アルゼンチン</t>
  </si>
  <si>
    <t>ALG</t>
  </si>
  <si>
    <t>アルジェリア</t>
  </si>
  <si>
    <t>AUT</t>
  </si>
  <si>
    <t>オーストリア</t>
  </si>
  <si>
    <t>JOR</t>
  </si>
  <si>
    <t>ヨルダン</t>
  </si>
  <si>
    <t>POR</t>
  </si>
  <si>
    <t>ポルトガル</t>
  </si>
  <si>
    <t>COD</t>
  </si>
  <si>
    <t>コンゴ民主共和国</t>
  </si>
  <si>
    <t>ENG</t>
  </si>
  <si>
    <t>イングランド</t>
  </si>
  <si>
    <t>CRO</t>
  </si>
  <si>
    <t>クロアチア</t>
  </si>
  <si>
    <t>GHA</t>
  </si>
  <si>
    <t>ガーナ</t>
  </si>
  <si>
    <t>PAN</t>
  </si>
  <si>
    <t>パナマ</t>
  </si>
  <si>
    <t>UZB</t>
  </si>
  <si>
    <t>ウズベキスタン</t>
  </si>
  <si>
    <t>COL</t>
  </si>
  <si>
    <t>コロンビア</t>
  </si>
  <si>
    <t>group_id</t>
  </si>
  <si>
    <t>group_name</t>
  </si>
  <si>
    <t>INSERT INTO GROUPSTAGE (group_id, group_name) VALUES</t>
  </si>
  <si>
    <t>01</t>
  </si>
  <si>
    <t>A</t>
  </si>
  <si>
    <t>02</t>
  </si>
  <si>
    <t>B</t>
  </si>
  <si>
    <t>03</t>
  </si>
  <si>
    <t>C</t>
  </si>
  <si>
    <t>04</t>
  </si>
  <si>
    <t>D</t>
  </si>
  <si>
    <t>05</t>
  </si>
  <si>
    <t>E</t>
  </si>
  <si>
    <t>グループのキー</t>
  </si>
  <si>
    <t>06</t>
  </si>
  <si>
    <t>F</t>
  </si>
  <si>
    <t>グループ名</t>
  </si>
  <si>
    <t>07</t>
  </si>
  <si>
    <t>G</t>
  </si>
  <si>
    <t>08</t>
  </si>
  <si>
    <t>H</t>
  </si>
  <si>
    <t>09</t>
  </si>
  <si>
    <t>I</t>
  </si>
  <si>
    <t>10</t>
  </si>
  <si>
    <t>J</t>
  </si>
  <si>
    <t>11</t>
  </si>
  <si>
    <t>K</t>
  </si>
  <si>
    <t>12</t>
  </si>
  <si>
    <t>L</t>
  </si>
  <si>
    <t>team_name</t>
  </si>
  <si>
    <t>INSERT INTO TEAM (team_id, team_name, group_id) VALUES</t>
  </si>
  <si>
    <t>チーム名</t>
  </si>
  <si>
    <t>fifarank</t>
  </si>
  <si>
    <t>--work　日本語名</t>
  </si>
  <si>
    <t>INSERT INTO FIFARANK (fifarank, team_id) VALUES</t>
  </si>
  <si>
    <t>ITA</t>
  </si>
  <si>
    <t>イタリア</t>
  </si>
  <si>
    <t>DEN</t>
  </si>
  <si>
    <t>デンマーク</t>
  </si>
  <si>
    <t>NGA</t>
  </si>
  <si>
    <t>ナイジェリア</t>
  </si>
  <si>
    <t>UKR</t>
  </si>
  <si>
    <t>ウクライナ</t>
  </si>
  <si>
    <t>RUS</t>
  </si>
  <si>
    <t>ロシア</t>
  </si>
  <si>
    <t>POL</t>
  </si>
  <si>
    <t>ポーランド</t>
  </si>
  <si>
    <t>WAL</t>
  </si>
  <si>
    <t>ウェールズ</t>
  </si>
  <si>
    <t>HUN</t>
  </si>
  <si>
    <t>ハンガリー</t>
  </si>
  <si>
    <t>SRB</t>
  </si>
  <si>
    <t>セルビア</t>
  </si>
  <si>
    <t>CMR</t>
  </si>
  <si>
    <t>カメルーン</t>
  </si>
  <si>
    <t>SVK</t>
  </si>
  <si>
    <t>スロバキア</t>
  </si>
  <si>
    <t>GRE</t>
  </si>
  <si>
    <t>ギリシャ</t>
  </si>
  <si>
    <t>VEN</t>
  </si>
  <si>
    <t>ベネズエラ</t>
  </si>
  <si>
    <t>CHI</t>
  </si>
  <si>
    <t>チリ</t>
  </si>
  <si>
    <t>PER</t>
  </si>
  <si>
    <t>ペルー</t>
  </si>
  <si>
    <t>CRC</t>
  </si>
  <si>
    <t>コスタリカ</t>
  </si>
  <si>
    <t>ROU</t>
  </si>
  <si>
    <t>ルーマニア</t>
  </si>
  <si>
    <t>MLI</t>
  </si>
  <si>
    <t>マリ</t>
  </si>
  <si>
    <t>IRL</t>
  </si>
  <si>
    <t>アイルランド共和国</t>
  </si>
  <si>
    <t>SVN</t>
  </si>
  <si>
    <t>スロベニア</t>
  </si>
  <si>
    <t>BFA</t>
  </si>
  <si>
    <t>ブルキナファソ</t>
  </si>
  <si>
    <t>HON</t>
  </si>
  <si>
    <t>ホンジュラス</t>
  </si>
  <si>
    <t>ALB</t>
  </si>
  <si>
    <t>アルバニア</t>
  </si>
  <si>
    <t>UAE</t>
  </si>
  <si>
    <t>アラブ首長国連邦</t>
  </si>
  <si>
    <t>MKD</t>
  </si>
  <si>
    <t>北マケドニア</t>
  </si>
  <si>
    <t>NIR</t>
  </si>
  <si>
    <t>北アイルランド</t>
  </si>
  <si>
    <t>JAM</t>
  </si>
  <si>
    <t>ジャマイカ</t>
  </si>
  <si>
    <t>GEO</t>
  </si>
  <si>
    <t>ジョージア</t>
  </si>
  <si>
    <t>ISL</t>
  </si>
  <si>
    <t>アイスランド</t>
  </si>
  <si>
    <t>FIN</t>
  </si>
  <si>
    <t>フィンランド</t>
  </si>
  <si>
    <t>ISR</t>
  </si>
  <si>
    <t>イスラエル</t>
  </si>
  <si>
    <t>BOL</t>
  </si>
  <si>
    <t>ボリビア</t>
  </si>
  <si>
    <t>KOS</t>
  </si>
  <si>
    <t>コソボ</t>
  </si>
  <si>
    <t>OMA</t>
  </si>
  <si>
    <t>オマーン</t>
  </si>
  <si>
    <t>MNE</t>
  </si>
  <si>
    <t>モンテネグロ</t>
  </si>
  <si>
    <t>GUI</t>
  </si>
  <si>
    <t>ギニア</t>
  </si>
  <si>
    <t>SYR</t>
  </si>
  <si>
    <t>シリア</t>
  </si>
  <si>
    <t>GAB</t>
  </si>
  <si>
    <t>ガボン</t>
  </si>
  <si>
    <t>BUL</t>
  </si>
  <si>
    <t>ブルガリア</t>
  </si>
  <si>
    <t>ANG</t>
  </si>
  <si>
    <t>アンゴラ</t>
  </si>
  <si>
    <t>UGA</t>
  </si>
  <si>
    <t>ウガンダ</t>
  </si>
  <si>
    <t>ZAM</t>
  </si>
  <si>
    <t>ザンビア</t>
  </si>
  <si>
    <t>CHN</t>
  </si>
  <si>
    <t>中華人民共和国</t>
  </si>
  <si>
    <t>BHR</t>
  </si>
  <si>
    <t>バーレーン</t>
  </si>
  <si>
    <t>BEN</t>
  </si>
  <si>
    <t>ベナン</t>
  </si>
  <si>
    <t>THA</t>
  </si>
  <si>
    <t>タイ</t>
  </si>
  <si>
    <t>PSE</t>
  </si>
  <si>
    <t>パレスチナ</t>
  </si>
  <si>
    <t>BLR</t>
  </si>
  <si>
    <t>ベラルーシ</t>
  </si>
  <si>
    <t>GUA</t>
  </si>
  <si>
    <t>グアテマラ</t>
  </si>
  <si>
    <t>LUX</t>
  </si>
  <si>
    <t>ルクセンブルク</t>
  </si>
  <si>
    <t>VIE</t>
  </si>
  <si>
    <t>ベトナム</t>
  </si>
  <si>
    <t>SLV</t>
  </si>
  <si>
    <t>エルサルバドル</t>
  </si>
  <si>
    <t>TJK</t>
  </si>
  <si>
    <t>タジキスタン</t>
  </si>
  <si>
    <t>TRI</t>
  </si>
  <si>
    <t>トリニダード・トバゴ</t>
  </si>
  <si>
    <t>MOZ</t>
  </si>
  <si>
    <t>モザンビーク</t>
  </si>
  <si>
    <t>MAD</t>
  </si>
  <si>
    <t>マダガスカル</t>
  </si>
  <si>
    <t>EQG</t>
  </si>
  <si>
    <t>赤道ギニア</t>
  </si>
  <si>
    <t>KGZ</t>
  </si>
  <si>
    <t>キルギス共和国</t>
  </si>
  <si>
    <t>ARM</t>
  </si>
  <si>
    <t>アルメニア</t>
  </si>
  <si>
    <t>COM</t>
  </si>
  <si>
    <t>コモロ</t>
  </si>
  <si>
    <t>KEN</t>
  </si>
  <si>
    <t>ケニア</t>
  </si>
  <si>
    <t>LBY</t>
  </si>
  <si>
    <t>リビア</t>
  </si>
  <si>
    <t>KAZ</t>
  </si>
  <si>
    <t>カザフスタン</t>
  </si>
  <si>
    <t>TAN</t>
  </si>
  <si>
    <t>タンザニア</t>
  </si>
  <si>
    <t>MTN</t>
  </si>
  <si>
    <t>モーリタニア</t>
  </si>
  <si>
    <t>NER</t>
  </si>
  <si>
    <t>ニジェール</t>
  </si>
  <si>
    <t>LBN</t>
  </si>
  <si>
    <t>レバノン</t>
  </si>
  <si>
    <t>GAM</t>
  </si>
  <si>
    <t>ガンビア</t>
  </si>
  <si>
    <t>SDN</t>
  </si>
  <si>
    <t>スーダン</t>
  </si>
  <si>
    <t>IDN</t>
  </si>
  <si>
    <t>インドネシア</t>
  </si>
  <si>
    <t>TOG</t>
  </si>
  <si>
    <t>トーゴ</t>
  </si>
  <si>
    <t>PRK</t>
  </si>
  <si>
    <t>北朝鮮</t>
  </si>
  <si>
    <t>NAM</t>
  </si>
  <si>
    <t>ナミビア</t>
  </si>
  <si>
    <t>SLE</t>
  </si>
  <si>
    <t>シエラレオネ</t>
  </si>
  <si>
    <t>FRO</t>
  </si>
  <si>
    <t>フェロー諸島</t>
  </si>
  <si>
    <t>CYP</t>
  </si>
  <si>
    <t>キプロス</t>
  </si>
  <si>
    <t>SUR</t>
  </si>
  <si>
    <t>スリナム</t>
  </si>
  <si>
    <t>AZE</t>
  </si>
  <si>
    <t>アゼルバイジャン</t>
  </si>
  <si>
    <t>EST</t>
  </si>
  <si>
    <t>エストニア</t>
  </si>
  <si>
    <t>RWA</t>
  </si>
  <si>
    <t>ルワンダ</t>
  </si>
  <si>
    <t>MWI</t>
  </si>
  <si>
    <t>マラウイ</t>
  </si>
  <si>
    <t>ZIM</t>
  </si>
  <si>
    <t>ジンバブエ</t>
  </si>
  <si>
    <t>NCA</t>
  </si>
  <si>
    <t>ニカラグア</t>
  </si>
  <si>
    <t>GNB</t>
  </si>
  <si>
    <t>ギニアビサウ</t>
  </si>
  <si>
    <t>KUW</t>
  </si>
  <si>
    <t>クウェート</t>
  </si>
  <si>
    <t>CGO</t>
  </si>
  <si>
    <t>コンゴ</t>
  </si>
  <si>
    <t>PHI</t>
  </si>
  <si>
    <t>フィリピン</t>
  </si>
  <si>
    <t>MAS</t>
  </si>
  <si>
    <t>マレーシア</t>
  </si>
  <si>
    <t>LVA</t>
  </si>
  <si>
    <t>ラトビア</t>
  </si>
  <si>
    <t>IND</t>
  </si>
  <si>
    <t>インド</t>
  </si>
  <si>
    <t>CTA</t>
  </si>
  <si>
    <t>中央アフリカ共和国</t>
  </si>
  <si>
    <t>LBR</t>
  </si>
  <si>
    <t>リベリア</t>
  </si>
  <si>
    <t>TKM</t>
  </si>
  <si>
    <t>トルクメニスタン</t>
  </si>
  <si>
    <t>BDI</t>
  </si>
  <si>
    <t>ブルンジ</t>
  </si>
  <si>
    <t>ETH</t>
  </si>
  <si>
    <t>エチオピア</t>
  </si>
  <si>
    <t>DOM</t>
  </si>
  <si>
    <t>ドミニカ共和国</t>
  </si>
  <si>
    <t>YEM</t>
  </si>
  <si>
    <t>イエメン</t>
  </si>
  <si>
    <t>LES</t>
  </si>
  <si>
    <t>レソト</t>
  </si>
  <si>
    <t>BOT</t>
  </si>
  <si>
    <t>ボツワナ</t>
  </si>
  <si>
    <t>SIN</t>
  </si>
  <si>
    <t>シンガポール</t>
  </si>
  <si>
    <t>LTU</t>
  </si>
  <si>
    <t>リトアニア</t>
  </si>
  <si>
    <t>GUY</t>
  </si>
  <si>
    <t>ガイアナ</t>
  </si>
  <si>
    <t>NCL</t>
  </si>
  <si>
    <t>ニューカレドニア</t>
  </si>
  <si>
    <t>KNA</t>
  </si>
  <si>
    <t>セントクリストファー・ネイビス</t>
  </si>
  <si>
    <t>SOL</t>
  </si>
  <si>
    <t>ソロモン諸島</t>
  </si>
  <si>
    <t>PUR</t>
  </si>
  <si>
    <t>プエルトリコ</t>
  </si>
  <si>
    <t>FIJ</t>
  </si>
  <si>
    <t>フィジー</t>
  </si>
  <si>
    <t>HKG</t>
  </si>
  <si>
    <t>香港</t>
  </si>
  <si>
    <t>TAH</t>
  </si>
  <si>
    <t>タヒチ</t>
  </si>
  <si>
    <t>MYA</t>
  </si>
  <si>
    <t>ミャンマー</t>
  </si>
  <si>
    <t>MDA</t>
  </si>
  <si>
    <t>モルドバ</t>
  </si>
  <si>
    <t>VAN</t>
  </si>
  <si>
    <t>バヌアツ</t>
  </si>
  <si>
    <t>MLT</t>
  </si>
  <si>
    <t>マルタ</t>
  </si>
  <si>
    <t>ATG</t>
  </si>
  <si>
    <t>アンティグア・バーブーダ</t>
  </si>
  <si>
    <t>GRN</t>
  </si>
  <si>
    <t>グレナダ</t>
  </si>
  <si>
    <t>CUB</t>
  </si>
  <si>
    <t>キューバ</t>
  </si>
  <si>
    <t>SWZ</t>
  </si>
  <si>
    <t>エスワティニ</t>
  </si>
  <si>
    <t>LCA</t>
  </si>
  <si>
    <t>セントルシア</t>
  </si>
  <si>
    <t>BMU</t>
  </si>
  <si>
    <t>バミューダ諸島</t>
  </si>
  <si>
    <t>PNG</t>
  </si>
  <si>
    <t>パプアニューギニア</t>
  </si>
  <si>
    <t>SSD</t>
  </si>
  <si>
    <t>南スーダン</t>
  </si>
  <si>
    <t>VCT</t>
  </si>
  <si>
    <t>セントビンセント・グレナディーン諸島</t>
  </si>
  <si>
    <t>AFG</t>
  </si>
  <si>
    <t>アフガニスタン</t>
  </si>
  <si>
    <t>AND</t>
  </si>
  <si>
    <t>アンドラ</t>
  </si>
  <si>
    <t>MDV</t>
  </si>
  <si>
    <t>モルディブ</t>
  </si>
  <si>
    <t>TPE</t>
  </si>
  <si>
    <t>チャイニーズタイペイ</t>
  </si>
  <si>
    <t>CAM</t>
  </si>
  <si>
    <t>カンボジア</t>
  </si>
  <si>
    <t>MSR</t>
  </si>
  <si>
    <t>モントセラト</t>
  </si>
  <si>
    <t>NEP</t>
  </si>
  <si>
    <t>ネパール</t>
  </si>
  <si>
    <t>MRI</t>
  </si>
  <si>
    <t>モーリシャス</t>
  </si>
  <si>
    <t>BAR</t>
  </si>
  <si>
    <t>バルバドス</t>
  </si>
  <si>
    <t>BLZ</t>
  </si>
  <si>
    <t>ベリーズ</t>
  </si>
  <si>
    <t>BAN</t>
  </si>
  <si>
    <t>バングラデシュ</t>
  </si>
  <si>
    <t>DMA</t>
  </si>
  <si>
    <t>ドミニカ国</t>
  </si>
  <si>
    <t>CHA</t>
  </si>
  <si>
    <t>チャド</t>
  </si>
  <si>
    <t>ERI</t>
  </si>
  <si>
    <t>エリトリア</t>
  </si>
  <si>
    <t>LAO</t>
  </si>
  <si>
    <t>ラオス</t>
  </si>
  <si>
    <t>COK</t>
  </si>
  <si>
    <t>クック諸島</t>
  </si>
  <si>
    <t>SRI</t>
  </si>
  <si>
    <t>スリランカ</t>
  </si>
  <si>
    <t>SAM</t>
  </si>
  <si>
    <t>サモア</t>
  </si>
  <si>
    <t>ARU</t>
  </si>
  <si>
    <t>アルバ</t>
  </si>
  <si>
    <t>MNG</t>
  </si>
  <si>
    <t>モンゴル</t>
  </si>
  <si>
    <t>ASA</t>
  </si>
  <si>
    <t>アメリカ領サモア</t>
  </si>
  <si>
    <t>BHU</t>
  </si>
  <si>
    <t>ブータン</t>
  </si>
  <si>
    <t>MAC</t>
  </si>
  <si>
    <t>マカオ</t>
  </si>
  <si>
    <t>BRU</t>
  </si>
  <si>
    <t>ブルネイ</t>
  </si>
  <si>
    <t>STP</t>
  </si>
  <si>
    <t>サントメ・プリンシペ</t>
  </si>
  <si>
    <t>DJI</t>
  </si>
  <si>
    <t>ジブチ</t>
  </si>
  <si>
    <t>CAY</t>
  </si>
  <si>
    <t>ケイマン諸島</t>
  </si>
  <si>
    <t>PAK</t>
  </si>
  <si>
    <t>パキスタン</t>
  </si>
  <si>
    <t>SOM</t>
  </si>
  <si>
    <t>ソマリア</t>
  </si>
  <si>
    <t>TGA</t>
  </si>
  <si>
    <t>トンガ</t>
  </si>
  <si>
    <t>TLS</t>
  </si>
  <si>
    <t>東ティモール</t>
  </si>
  <si>
    <t>GIB</t>
  </si>
  <si>
    <t>ジブラルタル</t>
  </si>
  <si>
    <t>GUM</t>
  </si>
  <si>
    <t>グアム</t>
  </si>
  <si>
    <t>SEY</t>
  </si>
  <si>
    <t>セーシェル</t>
  </si>
  <si>
    <t>TCA</t>
  </si>
  <si>
    <t>タークス・カイコス諸島</t>
  </si>
  <si>
    <t>LIE</t>
  </si>
  <si>
    <t>リヒテンシュタイン</t>
  </si>
  <si>
    <t>BAH</t>
  </si>
  <si>
    <t>バハマ</t>
  </si>
  <si>
    <t>VIR</t>
  </si>
  <si>
    <t>アメリカ領ヴァージン諸島</t>
  </si>
  <si>
    <t>VGB</t>
  </si>
  <si>
    <t>英領ヴァージン諸島</t>
  </si>
  <si>
    <t>AIA</t>
  </si>
  <si>
    <t>アンギラ</t>
  </si>
  <si>
    <t>SMR</t>
  </si>
  <si>
    <t>サンマリノ</t>
  </si>
  <si>
    <t>IDX</t>
  </si>
  <si>
    <t>チーム１との対戦結果</t>
  </si>
  <si>
    <t>チーム２との対戦結果</t>
  </si>
  <si>
    <t>チーム３との対戦結果</t>
  </si>
  <si>
    <t>グループごとにフィールド行を作ってUNIONする</t>
  </si>
  <si>
    <t>STEP0</t>
  </si>
  <si>
    <t>グループ内の勝点</t>
  </si>
  <si>
    <t>STEP1</t>
  </si>
  <si>
    <t>グループの順位表</t>
  </si>
  <si>
    <t>当該チーム間の試合の勝点</t>
  </si>
  <si>
    <t>当該チーム間の試合の得失点差</t>
  </si>
  <si>
    <t>当該チーム間の試合の最高得点</t>
  </si>
  <si>
    <t>※順位がつかなくなるまで繰り返し</t>
  </si>
  <si>
    <t>rank</t>
  </si>
  <si>
    <t>順位</t>
  </si>
  <si>
    <t>STEP2</t>
  </si>
  <si>
    <t>グループ内の得失点差</t>
  </si>
  <si>
    <t>played</t>
  </si>
  <si>
    <t>消化した試合の数</t>
  </si>
  <si>
    <t>グループ内の最高得点</t>
  </si>
  <si>
    <t>win</t>
  </si>
  <si>
    <t>勝ちの数</t>
  </si>
  <si>
    <t>draw</t>
  </si>
  <si>
    <t>引き分けの数</t>
  </si>
  <si>
    <t>※繰り返さない</t>
  </si>
  <si>
    <t>loss</t>
  </si>
  <si>
    <t>負けの数</t>
  </si>
  <si>
    <t>STEP3</t>
  </si>
  <si>
    <t>goal_scored</t>
  </si>
  <si>
    <t>総得点</t>
  </si>
  <si>
    <t>goal_allowed</t>
  </si>
  <si>
    <t>総失点</t>
  </si>
  <si>
    <t>goal_difference</t>
  </si>
  <si>
    <t>得失点差</t>
  </si>
  <si>
    <t>pythonで制御する？</t>
  </si>
  <si>
    <t>sqliteにPLSQLみたいなのある？</t>
  </si>
  <si>
    <t>points</t>
  </si>
  <si>
    <t>勝点</t>
  </si>
  <si>
    <t>グループの順位表　STEP0の結果</t>
  </si>
  <si>
    <t>GROUP_RANK0.group_idのリストを取得（SQL）</t>
  </si>
  <si>
    <t>→変数grouplistへ</t>
  </si>
  <si>
    <t>STEP0で順位が確定したもの</t>
  </si>
  <si>
    <t>グループの順位表　STEP1の結果</t>
  </si>
  <si>
    <t>STEP1のテーブルに入れる</t>
  </si>
  <si>
    <t>grouplistが終わるまで繰り返し</t>
  </si>
  <si>
    <t>GROUP_RANK0から、rank, team_idを取得する（SQL）</t>
  </si>
  <si>
    <t>順位が確定していないもの</t>
  </si>
  <si>
    <t>→変数gr0listへ</t>
  </si>
  <si>
    <t>順位がつかなくなるまで繰り返し</t>
  </si>
  <si>
    <t>リストアップする</t>
  </si>
  <si>
    <t>同率順位をカウントする</t>
  </si>
  <si>
    <t>STEP1の順位付けをする</t>
  </si>
  <si>
    <t>→結果を変数countsへ</t>
  </si>
  <si>
    <t>順位が確定したもの</t>
  </si>
  <si>
    <t>countsが終わるまで繰り返し</t>
  </si>
  <si>
    <t>値が1（同率がいない）ならGROUP_RANK1へINSERT</t>
  </si>
  <si>
    <t>順位がつかない（処理前と変わってない）ならループ終了</t>
  </si>
  <si>
    <t>そうでなければ同率のものを変数tiedlistへ格納</t>
  </si>
  <si>
    <t>以下繰り返し</t>
  </si>
  <si>
    <t>グループステージにおける当該チーム間のMATCH_TEAMを取得する（SQL）</t>
  </si>
  <si>
    <t>　SQLに引数を渡すとき、タプルの形にすること！　引数が1つだけなら("aaa",)のようにする</t>
  </si>
  <si>
    <t>　MATCHES.match_kbn = '1'　のものを　match_idで結合する</t>
  </si>
  <si>
    <t>　MATCH_TEAM.team_id = （変数）</t>
  </si>
  <si>
    <t>当該チーム間の試合の勝ち点を計算　変数tiedへappend</t>
  </si>
  <si>
    <t>当該チーム間の試合の得失点差を計算　変数tiedへappend</t>
  </si>
  <si>
    <t>当該チーム間の試合の最高得点を計算　変数tiedへappend</t>
  </si>
  <si>
    <t>勝ち点＞得失点差＞最高得点の順でrankを更新</t>
  </si>
  <si>
    <t>　※同率の最高位から順になるように　同率2位が2チームあるならここで2,3位になること1,2位にならないこと</t>
  </si>
  <si>
    <t>　（pythonの順位付けの関数調べる）</t>
  </si>
  <si>
    <t>全て単独になるか、前と変わらないときはループ終了</t>
  </si>
  <si>
    <t>そうでないときは単独になったものをoutlistに移動して残りで繰り返し</t>
  </si>
  <si>
    <t>全部のgroup_idに対して処理終わったら</t>
  </si>
  <si>
    <t>outlistをテーブルに書き込む</t>
  </si>
  <si>
    <t>グループの順位表　STEP2の結果</t>
  </si>
  <si>
    <t>グループの順位表　STEP3の結果</t>
  </si>
  <si>
    <t>全グループステージで獲得した勝点</t>
  </si>
  <si>
    <t>全試合での得失点差</t>
  </si>
  <si>
    <t>全試合での総得点</t>
  </si>
  <si>
    <t>3位チームの順位</t>
  </si>
  <si>
    <t>point_spread</t>
  </si>
  <si>
    <t>点差</t>
  </si>
  <si>
    <t>MATCH_TEAM.match_idが同一の2レコードの</t>
  </si>
  <si>
    <t>MATCH_TEAM.scoreの差の絶対値</t>
  </si>
  <si>
    <t>集計キー</t>
  </si>
  <si>
    <t>point_spread_number</t>
  </si>
  <si>
    <t>数</t>
  </si>
  <si>
    <t>point_spreadの数</t>
  </si>
  <si>
    <t>per</t>
  </si>
  <si>
    <t>割合</t>
  </si>
  <si>
    <t>MATCHESの総数に対するpoint_spread_numberの割合</t>
  </si>
  <si>
    <t>小数第二位で四捨五入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</si>
</sst>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0_ "/>
  </numFmts>
  <fonts count="23">
    <font>
      <sz val="11"/>
      <color theme="1"/>
      <name val="メイリオ"/>
      <charset val="134"/>
    </font>
    <font>
      <b/>
      <sz val="11"/>
      <color theme="0"/>
      <name val="メイリオ"/>
      <charset val="134"/>
    </font>
    <font>
      <sz val="11"/>
      <color theme="1"/>
      <name val="メイリオ"/>
      <charset val="128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9"/>
      <name val="ＭＳ Ｐゴシック"/>
      <charset val="128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179" fontId="0" fillId="0" borderId="1" xfId="1" applyNumberFormat="1" applyBorder="1">
      <alignment vertical="center"/>
    </xf>
    <xf numFmtId="49" fontId="0" fillId="0" borderId="1" xfId="0" applyNumberFormat="1" applyBorder="1">
      <alignment vertical="center"/>
    </xf>
    <xf numFmtId="0" fontId="0" fillId="0" borderId="0" xfId="0" applyFill="1" applyBorder="1">
      <alignment vertical="center"/>
    </xf>
    <xf numFmtId="49" fontId="0" fillId="0" borderId="0" xfId="0" applyNumberFormat="1" applyBorder="1">
      <alignment vertical="center"/>
    </xf>
    <xf numFmtId="49" fontId="0" fillId="0" borderId="0" xfId="0" applyNumberFormat="1">
      <alignment vertical="center"/>
    </xf>
    <xf numFmtId="179" fontId="0" fillId="0" borderId="0" xfId="1" applyNumberFormat="1">
      <alignment vertical="center"/>
    </xf>
    <xf numFmtId="179" fontId="0" fillId="0" borderId="0" xfId="1" applyNumberFormat="1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0" fillId="0" borderId="0" xfId="0" applyFill="1" applyBorder="1" quotePrefix="1">
      <alignment vertical="center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6"/>
  <sheetViews>
    <sheetView workbookViewId="0">
      <selection activeCell="A1" sqref="A1"/>
    </sheetView>
  </sheetViews>
  <sheetFormatPr defaultColWidth="3.77777777777778" defaultRowHeight="18.75" outlineLevelRow="5" outlineLevelCol="2"/>
  <cols>
    <col min="1" max="1" width="3.77777777777778" customWidth="1"/>
  </cols>
  <sheetData>
    <row r="2" spans="2:2">
      <c r="B2" t="s">
        <v>0</v>
      </c>
    </row>
    <row r="3" spans="3:3">
      <c r="C3" t="s">
        <v>1</v>
      </c>
    </row>
    <row r="5" spans="2:2">
      <c r="B5" t="s">
        <v>2</v>
      </c>
    </row>
    <row r="6" spans="2:2">
      <c r="B6" t="s">
        <v>3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38"/>
  <sheetViews>
    <sheetView workbookViewId="0">
      <selection activeCell="A1" sqref="A1"/>
    </sheetView>
  </sheetViews>
  <sheetFormatPr defaultColWidth="3.77777777777778" defaultRowHeight="18.75" outlineLevelCol="3"/>
  <cols>
    <col min="1" max="1" width="3.77777777777778" customWidth="1"/>
  </cols>
  <sheetData>
    <row r="2" spans="2:2">
      <c r="B2" t="s">
        <v>4</v>
      </c>
    </row>
    <row r="3" spans="3:3">
      <c r="C3" t="s">
        <v>5</v>
      </c>
    </row>
    <row r="4" spans="3:3">
      <c r="C4" s="22" t="s">
        <v>6</v>
      </c>
    </row>
    <row r="5" spans="4:4">
      <c r="D5" t="s">
        <v>7</v>
      </c>
    </row>
    <row r="7" spans="3:3">
      <c r="C7" t="s">
        <v>8</v>
      </c>
    </row>
    <row r="8" spans="4:4">
      <c r="D8" t="s">
        <v>9</v>
      </c>
    </row>
    <row r="9" spans="4:4">
      <c r="D9" t="s">
        <v>10</v>
      </c>
    </row>
    <row r="10" spans="4:4">
      <c r="D10" t="s">
        <v>11</v>
      </c>
    </row>
    <row r="12" spans="4:4">
      <c r="D12" t="s">
        <v>12</v>
      </c>
    </row>
    <row r="13" spans="4:4">
      <c r="D13" t="s">
        <v>13</v>
      </c>
    </row>
    <row r="15" spans="2:2">
      <c r="B15" t="s">
        <v>14</v>
      </c>
    </row>
    <row r="16" spans="3:3">
      <c r="C16" t="s">
        <v>15</v>
      </c>
    </row>
    <row r="18" spans="2:2">
      <c r="B18" t="s">
        <v>16</v>
      </c>
    </row>
    <row r="19" spans="3:3">
      <c r="C19" t="s">
        <v>17</v>
      </c>
    </row>
    <row r="21" spans="2:2">
      <c r="B21" t="s">
        <v>18</v>
      </c>
    </row>
    <row r="22" spans="3:3">
      <c r="C22" t="s">
        <v>19</v>
      </c>
    </row>
    <row r="24" spans="2:2">
      <c r="B24" t="s">
        <v>20</v>
      </c>
    </row>
    <row r="25" spans="3:3">
      <c r="C25" t="s">
        <v>21</v>
      </c>
    </row>
    <row r="27" spans="2:2">
      <c r="B27" t="s">
        <v>22</v>
      </c>
    </row>
    <row r="28" spans="3:3">
      <c r="C28" t="s">
        <v>23</v>
      </c>
    </row>
    <row r="30" spans="2:2">
      <c r="B30" t="s">
        <v>24</v>
      </c>
    </row>
    <row r="31" spans="3:3">
      <c r="C31" t="s">
        <v>25</v>
      </c>
    </row>
    <row r="32" spans="3:3">
      <c r="C32" t="s">
        <v>26</v>
      </c>
    </row>
    <row r="33" spans="3:3">
      <c r="C33" t="s">
        <v>27</v>
      </c>
    </row>
    <row r="34" spans="3:3">
      <c r="C34" t="s">
        <v>28</v>
      </c>
    </row>
    <row r="35" spans="3:3">
      <c r="C35" t="s">
        <v>29</v>
      </c>
    </row>
    <row r="36" spans="3:3">
      <c r="C36" t="s">
        <v>30</v>
      </c>
    </row>
    <row r="37" spans="3:3">
      <c r="C37" t="s">
        <v>31</v>
      </c>
    </row>
    <row r="38" spans="3:3">
      <c r="C38" t="s">
        <v>32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1"/>
  <sheetViews>
    <sheetView workbookViewId="0">
      <selection activeCell="A1" sqref="A1"/>
    </sheetView>
  </sheetViews>
  <sheetFormatPr defaultColWidth="3.77777777777778" defaultRowHeight="18.75" outlineLevelCol="3"/>
  <cols>
    <col min="1" max="1" width="3.77777777777778" customWidth="1"/>
    <col min="2" max="2" width="30.7777777777778" customWidth="1"/>
    <col min="3" max="3" width="10.7777777777778" customWidth="1"/>
    <col min="4" max="4" width="40.7777777777778" customWidth="1"/>
    <col min="5" max="16382" width="3.77777777777778" customWidth="1"/>
  </cols>
  <sheetData>
    <row r="2" spans="2:2">
      <c r="B2" t="s">
        <v>33</v>
      </c>
    </row>
    <row r="3" spans="2:2">
      <c r="B3" s="21" t="s">
        <v>34</v>
      </c>
    </row>
    <row r="4" spans="2:2">
      <c r="B4" s="21" t="s">
        <v>35</v>
      </c>
    </row>
    <row r="5" spans="2:2">
      <c r="B5" s="21" t="s">
        <v>36</v>
      </c>
    </row>
    <row r="7" spans="2:4">
      <c r="B7" s="2" t="s">
        <v>37</v>
      </c>
      <c r="C7" s="2" t="s">
        <v>38</v>
      </c>
      <c r="D7" s="2" t="s">
        <v>39</v>
      </c>
    </row>
    <row r="8" spans="2:4">
      <c r="B8" s="10" t="s">
        <v>40</v>
      </c>
      <c r="C8" s="10" t="s">
        <v>41</v>
      </c>
      <c r="D8" s="10" t="s">
        <v>42</v>
      </c>
    </row>
    <row r="9" spans="2:4">
      <c r="B9" s="10" t="s">
        <v>43</v>
      </c>
      <c r="C9" s="10" t="s">
        <v>41</v>
      </c>
      <c r="D9" s="10" t="s">
        <v>44</v>
      </c>
    </row>
    <row r="10" spans="2:4">
      <c r="B10" s="10" t="s">
        <v>45</v>
      </c>
      <c r="C10" s="10" t="s">
        <v>46</v>
      </c>
      <c r="D10" s="10" t="s">
        <v>47</v>
      </c>
    </row>
    <row r="11" spans="2:4">
      <c r="B11" s="10" t="s">
        <v>48</v>
      </c>
      <c r="C11" s="10" t="s">
        <v>46</v>
      </c>
      <c r="D11" s="10" t="s">
        <v>49</v>
      </c>
    </row>
    <row r="12" spans="2:4">
      <c r="B12" s="10" t="s">
        <v>50</v>
      </c>
      <c r="C12" s="10" t="s">
        <v>46</v>
      </c>
      <c r="D12" s="10" t="s">
        <v>51</v>
      </c>
    </row>
    <row r="13" spans="2:4">
      <c r="B13" s="10" t="s">
        <v>52</v>
      </c>
      <c r="C13" s="10" t="s">
        <v>53</v>
      </c>
      <c r="D13" s="10" t="s">
        <v>54</v>
      </c>
    </row>
    <row r="14" spans="2:4">
      <c r="B14" s="10" t="s">
        <v>55</v>
      </c>
      <c r="C14" s="10" t="s">
        <v>53</v>
      </c>
      <c r="D14" s="10" t="s">
        <v>54</v>
      </c>
    </row>
    <row r="15" spans="2:4">
      <c r="B15" s="10" t="s">
        <v>56</v>
      </c>
      <c r="C15" s="10" t="s">
        <v>53</v>
      </c>
      <c r="D15" s="10" t="s">
        <v>54</v>
      </c>
    </row>
    <row r="16" spans="2:4">
      <c r="B16" s="10" t="s">
        <v>57</v>
      </c>
      <c r="C16" s="10" t="s">
        <v>58</v>
      </c>
      <c r="D16" s="10" t="s">
        <v>54</v>
      </c>
    </row>
    <row r="17" spans="2:4">
      <c r="B17" s="10" t="s">
        <v>59</v>
      </c>
      <c r="C17" s="10" t="s">
        <v>53</v>
      </c>
      <c r="D17" s="10" t="s">
        <v>54</v>
      </c>
    </row>
    <row r="18" spans="2:4">
      <c r="B18" s="10" t="s">
        <v>60</v>
      </c>
      <c r="C18" s="10" t="s">
        <v>53</v>
      </c>
      <c r="D18" s="10" t="s">
        <v>54</v>
      </c>
    </row>
    <row r="19" spans="2:4">
      <c r="B19" s="10" t="s">
        <v>61</v>
      </c>
      <c r="C19" s="10" t="s">
        <v>53</v>
      </c>
      <c r="D19" s="10" t="s">
        <v>62</v>
      </c>
    </row>
    <row r="20" spans="2:4">
      <c r="B20" s="10" t="s">
        <v>63</v>
      </c>
      <c r="C20" s="10" t="s">
        <v>53</v>
      </c>
      <c r="D20" s="10" t="s">
        <v>64</v>
      </c>
    </row>
    <row r="21" spans="2:4">
      <c r="B21" s="10"/>
      <c r="C21" s="10"/>
      <c r="D21" s="10"/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7"/>
  <sheetViews>
    <sheetView workbookViewId="0">
      <selection activeCell="A1" sqref="A1"/>
    </sheetView>
  </sheetViews>
  <sheetFormatPr defaultColWidth="3.77777777777778" defaultRowHeight="18.75"/>
  <cols>
    <col min="1" max="1" width="3.77777777777778" customWidth="1"/>
    <col min="2" max="2" width="30.7777777777778" customWidth="1"/>
    <col min="3" max="4" width="5.77777777777778" customWidth="1"/>
    <col min="5" max="5" width="40.7777777777778" customWidth="1"/>
    <col min="6" max="6" width="3.77777777777778" customWidth="1"/>
    <col min="7" max="7" width="8.77777777777778" customWidth="1"/>
    <col min="8" max="8" width="10.3333333333333" customWidth="1"/>
    <col min="9" max="9" width="13.5555555555556" customWidth="1"/>
    <col min="10" max="10" width="26" customWidth="1"/>
    <col min="11" max="16383" width="3.77777777777778" customWidth="1"/>
  </cols>
  <sheetData>
    <row r="1" spans="1:1">
      <c r="A1" s="20"/>
    </row>
    <row r="2" spans="2:11">
      <c r="B2" s="1" t="s">
        <v>37</v>
      </c>
      <c r="C2" s="1"/>
      <c r="D2" s="1"/>
      <c r="E2" s="2" t="s">
        <v>38</v>
      </c>
      <c r="G2" s="11" t="s">
        <v>65</v>
      </c>
      <c r="H2" s="11" t="s">
        <v>66</v>
      </c>
      <c r="I2" s="11" t="s">
        <v>67</v>
      </c>
      <c r="J2" s="11" t="s">
        <v>68</v>
      </c>
      <c r="K2" t="s">
        <v>69</v>
      </c>
    </row>
    <row r="3" spans="2:11">
      <c r="B3" s="3" t="s">
        <v>40</v>
      </c>
      <c r="C3" s="3"/>
      <c r="D3" s="3"/>
      <c r="E3" s="4" t="s">
        <v>41</v>
      </c>
      <c r="G3" s="13" t="s">
        <v>70</v>
      </c>
      <c r="H3" s="13" t="s">
        <v>71</v>
      </c>
      <c r="I3" s="13" t="s">
        <v>72</v>
      </c>
      <c r="J3" s="13" t="s">
        <v>73</v>
      </c>
      <c r="K3" t="str">
        <f t="shared" ref="K3:K66" si="0">CHAR(9)&amp;"('"&amp;G3&amp;"', '"&amp;H3&amp;"', '"&amp;I3&amp;"', '"&amp;J3&amp;"'),"</f>
        <v>('001', '1', '202606120400', 'メキシコシティ'),</v>
      </c>
    </row>
    <row r="4" spans="2:11">
      <c r="B4" s="1" t="s">
        <v>39</v>
      </c>
      <c r="C4" s="1"/>
      <c r="D4" s="1"/>
      <c r="E4" s="1"/>
      <c r="G4" s="13" t="s">
        <v>74</v>
      </c>
      <c r="H4" s="13" t="s">
        <v>71</v>
      </c>
      <c r="I4" s="13" t="s">
        <v>75</v>
      </c>
      <c r="J4" s="13" t="s">
        <v>76</v>
      </c>
      <c r="K4" t="str">
        <f t="shared" si="0"/>
        <v>('002', '1', '202606121100', 'グアダラハラ'),</v>
      </c>
    </row>
    <row r="5" spans="2:11">
      <c r="B5" s="3" t="s">
        <v>42</v>
      </c>
      <c r="C5" s="3"/>
      <c r="D5" s="3"/>
      <c r="E5" s="3"/>
      <c r="G5" s="13" t="s">
        <v>77</v>
      </c>
      <c r="H5" s="13" t="s">
        <v>71</v>
      </c>
      <c r="I5" s="13" t="s">
        <v>78</v>
      </c>
      <c r="J5" s="13" t="s">
        <v>79</v>
      </c>
      <c r="K5" t="str">
        <f t="shared" si="0"/>
        <v>('003', '1', '202606130400', 'トロント'),</v>
      </c>
    </row>
    <row r="6" spans="7:11">
      <c r="G6" s="13" t="s">
        <v>80</v>
      </c>
      <c r="H6" s="13" t="s">
        <v>71</v>
      </c>
      <c r="I6" s="13" t="s">
        <v>81</v>
      </c>
      <c r="J6" s="13" t="s">
        <v>82</v>
      </c>
      <c r="K6" t="str">
        <f t="shared" si="0"/>
        <v>('004', '1', '202606131000', 'ロサンゼルス'),</v>
      </c>
    </row>
    <row r="7" spans="2:11">
      <c r="B7" s="5" t="s">
        <v>83</v>
      </c>
      <c r="C7" s="5" t="s">
        <v>84</v>
      </c>
      <c r="D7" s="5" t="s">
        <v>85</v>
      </c>
      <c r="E7" s="5" t="s">
        <v>39</v>
      </c>
      <c r="G7" s="13" t="s">
        <v>86</v>
      </c>
      <c r="H7" s="13" t="s">
        <v>71</v>
      </c>
      <c r="I7" s="13" t="s">
        <v>87</v>
      </c>
      <c r="J7" s="13" t="s">
        <v>88</v>
      </c>
      <c r="K7" t="str">
        <f t="shared" si="0"/>
        <v>('005', '1', '202606140400', 'サンフランシスコ・ベイエリア'),</v>
      </c>
    </row>
    <row r="8" spans="2:11">
      <c r="B8" s="10" t="s">
        <v>65</v>
      </c>
      <c r="C8" s="4" t="s">
        <v>89</v>
      </c>
      <c r="D8" s="4" t="s">
        <v>90</v>
      </c>
      <c r="E8" s="10" t="s">
        <v>91</v>
      </c>
      <c r="G8" s="13" t="s">
        <v>92</v>
      </c>
      <c r="H8" s="13" t="s">
        <v>71</v>
      </c>
      <c r="I8" s="13" t="s">
        <v>93</v>
      </c>
      <c r="J8" s="13" t="s">
        <v>94</v>
      </c>
      <c r="K8" t="str">
        <f t="shared" si="0"/>
        <v>('006', '1', '202606140700', 'ニュー・ジャージー'),</v>
      </c>
    </row>
    <row r="9" spans="2:11">
      <c r="B9" s="10" t="s">
        <v>66</v>
      </c>
      <c r="C9" s="4"/>
      <c r="D9" s="4" t="s">
        <v>90</v>
      </c>
      <c r="E9" s="10" t="s">
        <v>95</v>
      </c>
      <c r="G9" s="13" t="s">
        <v>96</v>
      </c>
      <c r="H9" s="13" t="s">
        <v>71</v>
      </c>
      <c r="I9" s="13" t="s">
        <v>97</v>
      </c>
      <c r="J9" s="13" t="s">
        <v>98</v>
      </c>
      <c r="K9" t="str">
        <f t="shared" si="0"/>
        <v>('007', '1', '202606141000', 'ボストン'),</v>
      </c>
    </row>
    <row r="10" spans="2:11">
      <c r="B10" s="10" t="s">
        <v>67</v>
      </c>
      <c r="C10" s="4"/>
      <c r="D10" s="4" t="s">
        <v>90</v>
      </c>
      <c r="E10" s="10" t="s">
        <v>99</v>
      </c>
      <c r="G10" s="13" t="s">
        <v>100</v>
      </c>
      <c r="H10" s="13" t="s">
        <v>71</v>
      </c>
      <c r="I10" s="13" t="s">
        <v>101</v>
      </c>
      <c r="J10" s="13" t="s">
        <v>102</v>
      </c>
      <c r="K10" t="str">
        <f t="shared" si="0"/>
        <v>('008', '1', '202606141300', 'バンクーバー'),</v>
      </c>
    </row>
    <row r="11" spans="2:11">
      <c r="B11" s="10" t="s">
        <v>68</v>
      </c>
      <c r="C11" s="4"/>
      <c r="D11" s="4" t="s">
        <v>90</v>
      </c>
      <c r="E11" s="10" t="s">
        <v>103</v>
      </c>
      <c r="G11" s="13" t="s">
        <v>104</v>
      </c>
      <c r="H11" s="13" t="s">
        <v>71</v>
      </c>
      <c r="I11" s="13" t="s">
        <v>105</v>
      </c>
      <c r="J11" s="13" t="s">
        <v>106</v>
      </c>
      <c r="K11" t="str">
        <f t="shared" si="0"/>
        <v>('009', '1', '202606150200', 'ヒューストン'),</v>
      </c>
    </row>
    <row r="12" spans="2:11">
      <c r="B12" s="10"/>
      <c r="C12" s="4"/>
      <c r="D12" s="4"/>
      <c r="E12" s="10"/>
      <c r="G12" s="13" t="s">
        <v>107</v>
      </c>
      <c r="H12" s="13" t="s">
        <v>71</v>
      </c>
      <c r="I12" s="13" t="s">
        <v>108</v>
      </c>
      <c r="J12" s="13" t="s">
        <v>109</v>
      </c>
      <c r="K12" t="str">
        <f t="shared" si="0"/>
        <v>('010', '1', '202606150500', 'ダラス'),</v>
      </c>
    </row>
    <row r="13" spans="7:11">
      <c r="G13" s="13" t="s">
        <v>110</v>
      </c>
      <c r="H13" s="13" t="s">
        <v>71</v>
      </c>
      <c r="I13" s="13" t="s">
        <v>111</v>
      </c>
      <c r="J13" s="13" t="s">
        <v>112</v>
      </c>
      <c r="K13" t="str">
        <f t="shared" si="0"/>
        <v>('011', '1', '202606150800', 'フィラデルフィア'),</v>
      </c>
    </row>
    <row r="14" spans="7:11">
      <c r="G14" s="13" t="s">
        <v>113</v>
      </c>
      <c r="H14" s="13" t="s">
        <v>71</v>
      </c>
      <c r="I14" s="13" t="s">
        <v>114</v>
      </c>
      <c r="J14" s="13" t="s">
        <v>115</v>
      </c>
      <c r="K14" t="str">
        <f t="shared" si="0"/>
        <v>('012', '1', '202606151100', 'モンテレー'),</v>
      </c>
    </row>
    <row r="15" spans="7:11">
      <c r="G15" s="13" t="s">
        <v>116</v>
      </c>
      <c r="H15" s="13" t="s">
        <v>71</v>
      </c>
      <c r="I15" s="13" t="s">
        <v>117</v>
      </c>
      <c r="J15" s="13" t="s">
        <v>118</v>
      </c>
      <c r="K15" t="str">
        <f t="shared" si="0"/>
        <v>('013', '1', '202606160100', 'アトランタ'),</v>
      </c>
    </row>
    <row r="16" spans="7:11">
      <c r="G16" s="13" t="s">
        <v>119</v>
      </c>
      <c r="H16" s="13" t="s">
        <v>71</v>
      </c>
      <c r="I16" s="13" t="s">
        <v>120</v>
      </c>
      <c r="J16" s="13" t="s">
        <v>121</v>
      </c>
      <c r="K16" t="str">
        <f t="shared" si="0"/>
        <v>('014', '1', '202606160400', 'シアトル'),</v>
      </c>
    </row>
    <row r="17" spans="7:11">
      <c r="G17" s="13" t="s">
        <v>122</v>
      </c>
      <c r="H17" s="13" t="s">
        <v>71</v>
      </c>
      <c r="I17" s="13" t="s">
        <v>123</v>
      </c>
      <c r="J17" s="13" t="s">
        <v>124</v>
      </c>
      <c r="K17" t="str">
        <f t="shared" si="0"/>
        <v>('015', '1', '202606160700', 'マイアミ'),</v>
      </c>
    </row>
    <row r="18" spans="7:11">
      <c r="G18" s="13" t="s">
        <v>125</v>
      </c>
      <c r="H18" s="13" t="s">
        <v>71</v>
      </c>
      <c r="I18" s="13" t="s">
        <v>126</v>
      </c>
      <c r="J18" s="13" t="s">
        <v>82</v>
      </c>
      <c r="K18" t="str">
        <f t="shared" si="0"/>
        <v>('016', '1', '202606161000', 'ロサンゼルス'),</v>
      </c>
    </row>
    <row r="19" spans="7:11">
      <c r="G19" s="13" t="s">
        <v>127</v>
      </c>
      <c r="H19" s="13" t="s">
        <v>71</v>
      </c>
      <c r="I19" s="13" t="s">
        <v>128</v>
      </c>
      <c r="J19" s="13" t="s">
        <v>94</v>
      </c>
      <c r="K19" t="str">
        <f t="shared" si="0"/>
        <v>('017', '1', '202606170400', 'ニュー・ジャージー'),</v>
      </c>
    </row>
    <row r="20" spans="7:11">
      <c r="G20" s="13" t="s">
        <v>129</v>
      </c>
      <c r="H20" s="13" t="s">
        <v>71</v>
      </c>
      <c r="I20" s="13" t="s">
        <v>130</v>
      </c>
      <c r="J20" s="13" t="s">
        <v>98</v>
      </c>
      <c r="K20" t="str">
        <f t="shared" si="0"/>
        <v>('018', '1', '202606170700', 'ボストン'),</v>
      </c>
    </row>
    <row r="21" spans="7:11">
      <c r="G21" s="13" t="s">
        <v>131</v>
      </c>
      <c r="H21" s="13" t="s">
        <v>71</v>
      </c>
      <c r="I21" s="13" t="s">
        <v>132</v>
      </c>
      <c r="J21" s="13" t="s">
        <v>133</v>
      </c>
      <c r="K21" t="str">
        <f t="shared" si="0"/>
        <v>('019', '1', '202606171000', 'カンザス'),</v>
      </c>
    </row>
    <row r="22" spans="7:11">
      <c r="G22" s="13" t="s">
        <v>134</v>
      </c>
      <c r="H22" s="13" t="s">
        <v>71</v>
      </c>
      <c r="I22" s="13" t="s">
        <v>135</v>
      </c>
      <c r="J22" s="13" t="s">
        <v>88</v>
      </c>
      <c r="K22" t="str">
        <f t="shared" si="0"/>
        <v>('020', '1', '202606171300', 'サンフランシスコ・ベイエリア'),</v>
      </c>
    </row>
    <row r="23" spans="7:11">
      <c r="G23" s="13" t="s">
        <v>136</v>
      </c>
      <c r="H23" s="13" t="s">
        <v>71</v>
      </c>
      <c r="I23" s="13" t="s">
        <v>137</v>
      </c>
      <c r="J23" s="13" t="s">
        <v>106</v>
      </c>
      <c r="K23" t="str">
        <f t="shared" si="0"/>
        <v>('021', '1', '202606180200', 'ヒューストン'),</v>
      </c>
    </row>
    <row r="24" spans="7:11">
      <c r="G24" s="13" t="s">
        <v>138</v>
      </c>
      <c r="H24" s="13" t="s">
        <v>71</v>
      </c>
      <c r="I24" s="13" t="s">
        <v>139</v>
      </c>
      <c r="J24" s="13" t="s">
        <v>109</v>
      </c>
      <c r="K24" t="str">
        <f t="shared" si="0"/>
        <v>('022', '1', '202606180500', 'ダラス'),</v>
      </c>
    </row>
    <row r="25" spans="7:11">
      <c r="G25" s="13" t="s">
        <v>140</v>
      </c>
      <c r="H25" s="13" t="s">
        <v>71</v>
      </c>
      <c r="I25" s="13" t="s">
        <v>141</v>
      </c>
      <c r="J25" s="13" t="s">
        <v>79</v>
      </c>
      <c r="K25" t="str">
        <f t="shared" si="0"/>
        <v>('023', '1', '202606180800', 'トロント'),</v>
      </c>
    </row>
    <row r="26" spans="7:11">
      <c r="G26" s="13" t="s">
        <v>142</v>
      </c>
      <c r="H26" s="13" t="s">
        <v>71</v>
      </c>
      <c r="I26" s="13" t="s">
        <v>143</v>
      </c>
      <c r="J26" s="13" t="s">
        <v>73</v>
      </c>
      <c r="K26" t="str">
        <f t="shared" si="0"/>
        <v>('024', '1', '202606181100', 'メキシコシティ'),</v>
      </c>
    </row>
    <row r="27" spans="7:11">
      <c r="G27" s="13" t="s">
        <v>144</v>
      </c>
      <c r="H27" s="13" t="s">
        <v>71</v>
      </c>
      <c r="I27" s="13" t="s">
        <v>145</v>
      </c>
      <c r="J27" s="13" t="s">
        <v>118</v>
      </c>
      <c r="K27" t="str">
        <f t="shared" si="0"/>
        <v>('025', '1', '202606190100', 'アトランタ'),</v>
      </c>
    </row>
    <row r="28" spans="7:11">
      <c r="G28" s="13" t="s">
        <v>146</v>
      </c>
      <c r="H28" s="13" t="s">
        <v>71</v>
      </c>
      <c r="I28" s="13" t="s">
        <v>147</v>
      </c>
      <c r="J28" s="13" t="s">
        <v>82</v>
      </c>
      <c r="K28" t="str">
        <f t="shared" si="0"/>
        <v>('026', '1', '202606190400', 'ロサンゼルス'),</v>
      </c>
    </row>
    <row r="29" spans="7:11">
      <c r="G29" s="13" t="s">
        <v>148</v>
      </c>
      <c r="H29" s="13" t="s">
        <v>71</v>
      </c>
      <c r="I29" s="13" t="s">
        <v>149</v>
      </c>
      <c r="J29" s="13" t="s">
        <v>102</v>
      </c>
      <c r="K29" t="str">
        <f t="shared" si="0"/>
        <v>('027', '1', '202606190700', 'バンクーバー'),</v>
      </c>
    </row>
    <row r="30" spans="7:11">
      <c r="G30" s="13" t="s">
        <v>150</v>
      </c>
      <c r="H30" s="13" t="s">
        <v>71</v>
      </c>
      <c r="I30" s="13" t="s">
        <v>151</v>
      </c>
      <c r="J30" s="13" t="s">
        <v>76</v>
      </c>
      <c r="K30" t="str">
        <f t="shared" si="0"/>
        <v>('028', '1', '202606191000', 'グアダラハラ'),</v>
      </c>
    </row>
    <row r="31" spans="7:11">
      <c r="G31" s="13" t="s">
        <v>152</v>
      </c>
      <c r="H31" s="13" t="s">
        <v>71</v>
      </c>
      <c r="I31" s="13" t="s">
        <v>153</v>
      </c>
      <c r="J31" s="13" t="s">
        <v>121</v>
      </c>
      <c r="K31" t="str">
        <f t="shared" si="0"/>
        <v>('029', '1', '202606200400', 'シアトル'),</v>
      </c>
    </row>
    <row r="32" spans="7:11">
      <c r="G32" s="13" t="s">
        <v>154</v>
      </c>
      <c r="H32" s="13" t="s">
        <v>71</v>
      </c>
      <c r="I32" s="13" t="s">
        <v>155</v>
      </c>
      <c r="J32" s="13" t="s">
        <v>98</v>
      </c>
      <c r="K32" t="str">
        <f t="shared" si="0"/>
        <v>('030', '1', '202606200700', 'ボストン'),</v>
      </c>
    </row>
    <row r="33" spans="7:11">
      <c r="G33" s="13" t="s">
        <v>156</v>
      </c>
      <c r="H33" s="13" t="s">
        <v>71</v>
      </c>
      <c r="I33" s="13" t="s">
        <v>157</v>
      </c>
      <c r="J33" s="13" t="s">
        <v>112</v>
      </c>
      <c r="K33" t="str">
        <f t="shared" si="0"/>
        <v>('031', '1', '202606200930', 'フィラデルフィア'),</v>
      </c>
    </row>
    <row r="34" spans="7:11">
      <c r="G34" s="13" t="s">
        <v>158</v>
      </c>
      <c r="H34" s="13" t="s">
        <v>71</v>
      </c>
      <c r="I34" s="13" t="s">
        <v>159</v>
      </c>
      <c r="J34" s="13" t="s">
        <v>88</v>
      </c>
      <c r="K34" t="str">
        <f t="shared" si="0"/>
        <v>('032', '1', '202606201200', 'サンフランシスコ・ベイエリア'),</v>
      </c>
    </row>
    <row r="35" spans="7:11">
      <c r="G35" s="13" t="s">
        <v>160</v>
      </c>
      <c r="H35" s="13" t="s">
        <v>71</v>
      </c>
      <c r="I35" s="13" t="s">
        <v>161</v>
      </c>
      <c r="J35" s="13" t="s">
        <v>106</v>
      </c>
      <c r="K35" t="str">
        <f t="shared" si="0"/>
        <v>('033', '1', '202606210200', 'ヒューストン'),</v>
      </c>
    </row>
    <row r="36" spans="7:11">
      <c r="G36" s="13" t="s">
        <v>162</v>
      </c>
      <c r="H36" s="13" t="s">
        <v>71</v>
      </c>
      <c r="I36" s="13" t="s">
        <v>163</v>
      </c>
      <c r="J36" s="13" t="s">
        <v>79</v>
      </c>
      <c r="K36" t="str">
        <f t="shared" si="0"/>
        <v>('034', '1', '202606210500', 'トロント'),</v>
      </c>
    </row>
    <row r="37" spans="7:11">
      <c r="G37" s="13" t="s">
        <v>164</v>
      </c>
      <c r="H37" s="13" t="s">
        <v>71</v>
      </c>
      <c r="I37" s="13" t="s">
        <v>165</v>
      </c>
      <c r="J37" s="13" t="s">
        <v>133</v>
      </c>
      <c r="K37" t="str">
        <f t="shared" si="0"/>
        <v>('035', '1', '202606210900', 'カンザス'),</v>
      </c>
    </row>
    <row r="38" spans="7:11">
      <c r="G38" s="13" t="s">
        <v>166</v>
      </c>
      <c r="H38" s="13" t="s">
        <v>71</v>
      </c>
      <c r="I38" s="13" t="s">
        <v>167</v>
      </c>
      <c r="J38" s="13" t="s">
        <v>115</v>
      </c>
      <c r="K38" t="str">
        <f t="shared" si="0"/>
        <v>('036', '1', '202606211300', 'モンテレー'),</v>
      </c>
    </row>
    <row r="39" spans="7:11">
      <c r="G39" s="13" t="s">
        <v>168</v>
      </c>
      <c r="H39" s="13" t="s">
        <v>71</v>
      </c>
      <c r="I39" s="13" t="s">
        <v>169</v>
      </c>
      <c r="J39" s="13" t="s">
        <v>118</v>
      </c>
      <c r="K39" t="str">
        <f t="shared" si="0"/>
        <v>('037', '1', '202606220100', 'アトランタ'),</v>
      </c>
    </row>
    <row r="40" spans="7:11">
      <c r="G40" s="13" t="s">
        <v>170</v>
      </c>
      <c r="H40" s="13" t="s">
        <v>71</v>
      </c>
      <c r="I40" s="13" t="s">
        <v>171</v>
      </c>
      <c r="J40" s="13" t="s">
        <v>82</v>
      </c>
      <c r="K40" t="str">
        <f t="shared" si="0"/>
        <v>('038', '1', '202606220400', 'ロサンゼルス'),</v>
      </c>
    </row>
    <row r="41" spans="7:11">
      <c r="G41" s="13" t="s">
        <v>172</v>
      </c>
      <c r="H41" s="13" t="s">
        <v>71</v>
      </c>
      <c r="I41" s="13" t="s">
        <v>173</v>
      </c>
      <c r="J41" s="13" t="s">
        <v>124</v>
      </c>
      <c r="K41" t="str">
        <f t="shared" si="0"/>
        <v>('039', '1', '202606220700', 'マイアミ'),</v>
      </c>
    </row>
    <row r="42" spans="7:11">
      <c r="G42" s="13" t="s">
        <v>174</v>
      </c>
      <c r="H42" s="13" t="s">
        <v>71</v>
      </c>
      <c r="I42" s="13" t="s">
        <v>175</v>
      </c>
      <c r="J42" s="13" t="s">
        <v>102</v>
      </c>
      <c r="K42" t="str">
        <f t="shared" si="0"/>
        <v>('040', '1', '202606221000', 'バンクーバー'),</v>
      </c>
    </row>
    <row r="43" spans="7:11">
      <c r="G43" s="13" t="s">
        <v>176</v>
      </c>
      <c r="H43" s="13" t="s">
        <v>71</v>
      </c>
      <c r="I43" s="13" t="s">
        <v>177</v>
      </c>
      <c r="J43" s="13" t="s">
        <v>109</v>
      </c>
      <c r="K43" t="str">
        <f t="shared" si="0"/>
        <v>('041', '1', '202606230200', 'ダラス'),</v>
      </c>
    </row>
    <row r="44" spans="7:11">
      <c r="G44" s="13" t="s">
        <v>178</v>
      </c>
      <c r="H44" s="13" t="s">
        <v>71</v>
      </c>
      <c r="I44" s="13" t="s">
        <v>179</v>
      </c>
      <c r="J44" s="13" t="s">
        <v>112</v>
      </c>
      <c r="K44" t="str">
        <f t="shared" si="0"/>
        <v>('042', '1', '202606230600', 'フィラデルフィア'),</v>
      </c>
    </row>
    <row r="45" spans="7:11">
      <c r="G45" s="13" t="s">
        <v>180</v>
      </c>
      <c r="H45" s="13" t="s">
        <v>71</v>
      </c>
      <c r="I45" s="13" t="s">
        <v>181</v>
      </c>
      <c r="J45" s="13" t="s">
        <v>94</v>
      </c>
      <c r="K45" t="str">
        <f t="shared" si="0"/>
        <v>('043', '1', '202606230900', 'ニュー・ジャージー'),</v>
      </c>
    </row>
    <row r="46" spans="7:11">
      <c r="G46" s="13" t="s">
        <v>182</v>
      </c>
      <c r="H46" s="13" t="s">
        <v>71</v>
      </c>
      <c r="I46" s="13" t="s">
        <v>183</v>
      </c>
      <c r="J46" s="13" t="s">
        <v>88</v>
      </c>
      <c r="K46" t="str">
        <f t="shared" si="0"/>
        <v>('044', '1', '202606231200', 'サンフランシスコ・ベイエリア'),</v>
      </c>
    </row>
    <row r="47" spans="7:11">
      <c r="G47" s="13" t="s">
        <v>184</v>
      </c>
      <c r="H47" s="13" t="s">
        <v>71</v>
      </c>
      <c r="I47" s="13" t="s">
        <v>185</v>
      </c>
      <c r="J47" s="13" t="s">
        <v>106</v>
      </c>
      <c r="K47" t="str">
        <f t="shared" si="0"/>
        <v>('045', '1', '202606240200', 'ヒューストン'),</v>
      </c>
    </row>
    <row r="48" spans="7:11">
      <c r="G48" s="13" t="s">
        <v>186</v>
      </c>
      <c r="H48" s="13" t="s">
        <v>71</v>
      </c>
      <c r="I48" s="13" t="s">
        <v>187</v>
      </c>
      <c r="J48" s="13" t="s">
        <v>98</v>
      </c>
      <c r="K48" t="str">
        <f t="shared" si="0"/>
        <v>('046', '1', '202606240500', 'ボストン'),</v>
      </c>
    </row>
    <row r="49" spans="7:11">
      <c r="G49" s="13" t="s">
        <v>188</v>
      </c>
      <c r="H49" s="13" t="s">
        <v>71</v>
      </c>
      <c r="I49" s="13" t="s">
        <v>189</v>
      </c>
      <c r="J49" s="13" t="s">
        <v>79</v>
      </c>
      <c r="K49" t="str">
        <f t="shared" si="0"/>
        <v>('047', '1', '202606240800', 'トロント'),</v>
      </c>
    </row>
    <row r="50" spans="7:11">
      <c r="G50" s="13" t="s">
        <v>190</v>
      </c>
      <c r="H50" s="13" t="s">
        <v>71</v>
      </c>
      <c r="I50" s="13" t="s">
        <v>191</v>
      </c>
      <c r="J50" s="13" t="s">
        <v>76</v>
      </c>
      <c r="K50" t="str">
        <f t="shared" si="0"/>
        <v>('048', '1', '202606241100', 'グアダラハラ'),</v>
      </c>
    </row>
    <row r="51" spans="7:11">
      <c r="G51" s="13" t="s">
        <v>192</v>
      </c>
      <c r="H51" s="13" t="s">
        <v>71</v>
      </c>
      <c r="I51" s="13" t="s">
        <v>193</v>
      </c>
      <c r="J51" s="13" t="s">
        <v>102</v>
      </c>
      <c r="K51" t="str">
        <f t="shared" si="0"/>
        <v>('049', '1', '202606250400', 'バンクーバー'),</v>
      </c>
    </row>
    <row r="52" spans="7:11">
      <c r="G52" s="13" t="s">
        <v>194</v>
      </c>
      <c r="H52" s="13" t="s">
        <v>71</v>
      </c>
      <c r="I52" s="13" t="s">
        <v>193</v>
      </c>
      <c r="J52" s="13" t="s">
        <v>121</v>
      </c>
      <c r="K52" t="str">
        <f t="shared" si="0"/>
        <v>('050', '1', '202606250400', 'シアトル'),</v>
      </c>
    </row>
    <row r="53" spans="7:11">
      <c r="G53" s="13" t="s">
        <v>195</v>
      </c>
      <c r="H53" s="13" t="s">
        <v>71</v>
      </c>
      <c r="I53" s="13" t="s">
        <v>196</v>
      </c>
      <c r="J53" s="13" t="s">
        <v>124</v>
      </c>
      <c r="K53" t="str">
        <f t="shared" si="0"/>
        <v>('051', '1', '202606250700', 'マイアミ'),</v>
      </c>
    </row>
    <row r="54" spans="7:11">
      <c r="G54" s="13" t="s">
        <v>197</v>
      </c>
      <c r="H54" s="13" t="s">
        <v>71</v>
      </c>
      <c r="I54" s="13" t="s">
        <v>196</v>
      </c>
      <c r="J54" s="13" t="s">
        <v>118</v>
      </c>
      <c r="K54" t="str">
        <f t="shared" si="0"/>
        <v>('052', '1', '202606250700', 'アトランタ'),</v>
      </c>
    </row>
    <row r="55" spans="7:11">
      <c r="G55" s="13" t="s">
        <v>198</v>
      </c>
      <c r="H55" s="13" t="s">
        <v>71</v>
      </c>
      <c r="I55" s="13" t="s">
        <v>199</v>
      </c>
      <c r="J55" s="13" t="s">
        <v>73</v>
      </c>
      <c r="K55" t="str">
        <f t="shared" si="0"/>
        <v>('053', '1', '202606251000', 'メキシコシティ'),</v>
      </c>
    </row>
    <row r="56" spans="7:11">
      <c r="G56" s="13" t="s">
        <v>200</v>
      </c>
      <c r="H56" s="13" t="s">
        <v>71</v>
      </c>
      <c r="I56" s="13" t="s">
        <v>199</v>
      </c>
      <c r="J56" s="13" t="s">
        <v>115</v>
      </c>
      <c r="K56" t="str">
        <f t="shared" si="0"/>
        <v>('054', '1', '202606251000', 'モンテレー'),</v>
      </c>
    </row>
    <row r="57" spans="7:11">
      <c r="G57" s="13" t="s">
        <v>201</v>
      </c>
      <c r="H57" s="13" t="s">
        <v>71</v>
      </c>
      <c r="I57" s="13" t="s">
        <v>202</v>
      </c>
      <c r="J57" s="13" t="s">
        <v>112</v>
      </c>
      <c r="K57" t="str">
        <f t="shared" si="0"/>
        <v>('055', '1', '202606260500', 'フィラデルフィア'),</v>
      </c>
    </row>
    <row r="58" spans="7:11">
      <c r="G58" s="13" t="s">
        <v>203</v>
      </c>
      <c r="H58" s="13" t="s">
        <v>71</v>
      </c>
      <c r="I58" s="13" t="s">
        <v>202</v>
      </c>
      <c r="J58" s="13" t="s">
        <v>94</v>
      </c>
      <c r="K58" t="str">
        <f t="shared" si="0"/>
        <v>('056', '1', '202606260500', 'ニュー・ジャージー'),</v>
      </c>
    </row>
    <row r="59" spans="7:11">
      <c r="G59" s="13" t="s">
        <v>204</v>
      </c>
      <c r="H59" s="13" t="s">
        <v>71</v>
      </c>
      <c r="I59" s="13" t="s">
        <v>205</v>
      </c>
      <c r="J59" s="13" t="s">
        <v>109</v>
      </c>
      <c r="K59" t="str">
        <f t="shared" si="0"/>
        <v>('057', '1', '202606260800', 'ダラス'),</v>
      </c>
    </row>
    <row r="60" spans="7:11">
      <c r="G60" s="13" t="s">
        <v>206</v>
      </c>
      <c r="H60" s="13" t="s">
        <v>71</v>
      </c>
      <c r="I60" s="13" t="s">
        <v>205</v>
      </c>
      <c r="J60" s="13" t="s">
        <v>133</v>
      </c>
      <c r="K60" t="str">
        <f t="shared" si="0"/>
        <v>('058', '1', '202606260800', 'カンザス'),</v>
      </c>
    </row>
    <row r="61" spans="7:11">
      <c r="G61" s="13" t="s">
        <v>207</v>
      </c>
      <c r="H61" s="13" t="s">
        <v>71</v>
      </c>
      <c r="I61" s="13" t="s">
        <v>208</v>
      </c>
      <c r="J61" s="13" t="s">
        <v>82</v>
      </c>
      <c r="K61" t="str">
        <f t="shared" si="0"/>
        <v>('059', '1', '202606261100', 'ロサンゼルス'),</v>
      </c>
    </row>
    <row r="62" spans="7:11">
      <c r="G62" s="13" t="s">
        <v>209</v>
      </c>
      <c r="H62" s="13" t="s">
        <v>71</v>
      </c>
      <c r="I62" s="13" t="s">
        <v>208</v>
      </c>
      <c r="J62" s="13" t="s">
        <v>88</v>
      </c>
      <c r="K62" t="str">
        <f t="shared" si="0"/>
        <v>('060', '1', '202606261100', 'サンフランシスコ・ベイエリア'),</v>
      </c>
    </row>
    <row r="63" spans="7:11">
      <c r="G63" s="13" t="s">
        <v>210</v>
      </c>
      <c r="H63" s="13" t="s">
        <v>71</v>
      </c>
      <c r="I63" s="13" t="s">
        <v>211</v>
      </c>
      <c r="J63" s="13" t="s">
        <v>98</v>
      </c>
      <c r="K63" t="str">
        <f t="shared" si="0"/>
        <v>('061', '1', '202606270400', 'ボストン'),</v>
      </c>
    </row>
    <row r="64" spans="7:11">
      <c r="G64" s="13" t="s">
        <v>212</v>
      </c>
      <c r="H64" s="13" t="s">
        <v>71</v>
      </c>
      <c r="I64" s="13" t="s">
        <v>211</v>
      </c>
      <c r="J64" s="13" t="s">
        <v>79</v>
      </c>
      <c r="K64" t="str">
        <f t="shared" si="0"/>
        <v>('062', '1', '202606270400', 'トロント'),</v>
      </c>
    </row>
    <row r="65" spans="7:11">
      <c r="G65" s="13" t="s">
        <v>213</v>
      </c>
      <c r="H65" s="13" t="s">
        <v>71</v>
      </c>
      <c r="I65" s="13" t="s">
        <v>214</v>
      </c>
      <c r="J65" s="13" t="s">
        <v>106</v>
      </c>
      <c r="K65" t="str">
        <f t="shared" si="0"/>
        <v>('063', '1', '202606270900', 'ヒューストン'),</v>
      </c>
    </row>
    <row r="66" spans="7:11">
      <c r="G66" s="13" t="s">
        <v>215</v>
      </c>
      <c r="H66" s="13" t="s">
        <v>71</v>
      </c>
      <c r="I66" s="13" t="s">
        <v>214</v>
      </c>
      <c r="J66" s="13" t="s">
        <v>76</v>
      </c>
      <c r="K66" t="str">
        <f t="shared" si="0"/>
        <v>('064', '1', '202606270900', 'グアダラハラ'),</v>
      </c>
    </row>
    <row r="67" spans="7:11">
      <c r="G67" s="13" t="s">
        <v>216</v>
      </c>
      <c r="H67" s="13" t="s">
        <v>71</v>
      </c>
      <c r="I67" s="13" t="s">
        <v>217</v>
      </c>
      <c r="J67" s="13" t="s">
        <v>121</v>
      </c>
      <c r="K67" t="str">
        <f t="shared" ref="K67:K105" si="1">CHAR(9)&amp;"('"&amp;G67&amp;"', '"&amp;H67&amp;"', '"&amp;I67&amp;"', '"&amp;J67&amp;"'),"</f>
        <v>('065', '1', '202606271200', 'シアトル'),</v>
      </c>
    </row>
    <row r="68" spans="7:11">
      <c r="G68" s="13" t="s">
        <v>218</v>
      </c>
      <c r="H68" s="13" t="s">
        <v>71</v>
      </c>
      <c r="I68" s="13" t="s">
        <v>217</v>
      </c>
      <c r="J68" s="13" t="s">
        <v>102</v>
      </c>
      <c r="K68" t="str">
        <f t="shared" si="1"/>
        <v>('066', '1', '202606271200', 'バンクーバー'),</v>
      </c>
    </row>
    <row r="69" spans="7:11">
      <c r="G69" s="13" t="s">
        <v>219</v>
      </c>
      <c r="H69" s="13" t="s">
        <v>71</v>
      </c>
      <c r="I69" s="13" t="s">
        <v>220</v>
      </c>
      <c r="J69" s="13" t="s">
        <v>94</v>
      </c>
      <c r="K69" t="str">
        <f t="shared" si="1"/>
        <v>('067', '1', '202606280600', 'ニュー・ジャージー'),</v>
      </c>
    </row>
    <row r="70" spans="7:11">
      <c r="G70" s="13" t="s">
        <v>221</v>
      </c>
      <c r="H70" s="13" t="s">
        <v>71</v>
      </c>
      <c r="I70" s="13" t="s">
        <v>220</v>
      </c>
      <c r="J70" s="13" t="s">
        <v>112</v>
      </c>
      <c r="K70" t="str">
        <f t="shared" si="1"/>
        <v>('068', '1', '202606280600', 'フィラデルフィア'),</v>
      </c>
    </row>
    <row r="71" spans="7:11">
      <c r="G71" s="13" t="s">
        <v>222</v>
      </c>
      <c r="H71" s="13" t="s">
        <v>71</v>
      </c>
      <c r="I71" s="13" t="s">
        <v>223</v>
      </c>
      <c r="J71" s="13" t="s">
        <v>124</v>
      </c>
      <c r="K71" t="str">
        <f t="shared" si="1"/>
        <v>('069', '1', '202606280830', 'マイアミ'),</v>
      </c>
    </row>
    <row r="72" spans="7:11">
      <c r="G72" s="13" t="s">
        <v>224</v>
      </c>
      <c r="H72" s="13" t="s">
        <v>71</v>
      </c>
      <c r="I72" s="13" t="s">
        <v>223</v>
      </c>
      <c r="J72" s="13" t="s">
        <v>118</v>
      </c>
      <c r="K72" t="str">
        <f t="shared" si="1"/>
        <v>('070', '1', '202606280830', 'アトランタ'),</v>
      </c>
    </row>
    <row r="73" spans="7:11">
      <c r="G73" s="13" t="s">
        <v>225</v>
      </c>
      <c r="H73" s="13" t="s">
        <v>71</v>
      </c>
      <c r="I73" s="13" t="s">
        <v>226</v>
      </c>
      <c r="J73" s="13" t="s">
        <v>133</v>
      </c>
      <c r="K73" t="str">
        <f t="shared" si="1"/>
        <v>('071', '1', '202606281100', 'カンザス'),</v>
      </c>
    </row>
    <row r="74" spans="7:11">
      <c r="G74" s="13" t="s">
        <v>227</v>
      </c>
      <c r="H74" s="13" t="s">
        <v>71</v>
      </c>
      <c r="I74" s="13" t="s">
        <v>226</v>
      </c>
      <c r="J74" s="13" t="s">
        <v>109</v>
      </c>
      <c r="K74" t="str">
        <f t="shared" si="1"/>
        <v>('072', '1', '202606281100', 'ダラス'),</v>
      </c>
    </row>
    <row r="75" spans="7:11">
      <c r="G75" s="13" t="s">
        <v>228</v>
      </c>
      <c r="H75" s="13" t="s">
        <v>229</v>
      </c>
      <c r="I75" s="13" t="s">
        <v>230</v>
      </c>
      <c r="J75" s="13" t="s">
        <v>82</v>
      </c>
      <c r="K75" t="str">
        <f t="shared" si="1"/>
        <v>('073', '2', '202606290400', 'ロサンゼルス'),</v>
      </c>
    </row>
    <row r="76" spans="7:11">
      <c r="G76" s="13" t="s">
        <v>231</v>
      </c>
      <c r="H76" s="13" t="s">
        <v>229</v>
      </c>
      <c r="I76" s="13" t="s">
        <v>232</v>
      </c>
      <c r="J76" s="13" t="s">
        <v>106</v>
      </c>
      <c r="K76" t="str">
        <f t="shared" si="1"/>
        <v>('074', '2', '202606300200', 'ヒューストン'),</v>
      </c>
    </row>
    <row r="77" spans="7:11">
      <c r="G77" s="13" t="s">
        <v>233</v>
      </c>
      <c r="H77" s="13" t="s">
        <v>229</v>
      </c>
      <c r="I77" s="13" t="s">
        <v>234</v>
      </c>
      <c r="J77" s="13" t="s">
        <v>98</v>
      </c>
      <c r="K77" t="str">
        <f t="shared" si="1"/>
        <v>('075', '2', '202606300530', 'ボストン'),</v>
      </c>
    </row>
    <row r="78" spans="7:11">
      <c r="G78" s="13" t="s">
        <v>235</v>
      </c>
      <c r="H78" s="13" t="s">
        <v>229</v>
      </c>
      <c r="I78" s="13" t="s">
        <v>236</v>
      </c>
      <c r="J78" s="13" t="s">
        <v>115</v>
      </c>
      <c r="K78" t="str">
        <f t="shared" si="1"/>
        <v>('076', '2', '202606301000', 'モンテレー'),</v>
      </c>
    </row>
    <row r="79" spans="7:11">
      <c r="G79" s="13" t="s">
        <v>237</v>
      </c>
      <c r="H79" s="13" t="s">
        <v>229</v>
      </c>
      <c r="I79" s="13" t="s">
        <v>238</v>
      </c>
      <c r="J79" s="13" t="s">
        <v>109</v>
      </c>
      <c r="K79" t="str">
        <f t="shared" si="1"/>
        <v>('077', '2', '202607010200', 'ダラス'),</v>
      </c>
    </row>
    <row r="80" spans="7:11">
      <c r="G80" s="13" t="s">
        <v>239</v>
      </c>
      <c r="H80" s="13" t="s">
        <v>229</v>
      </c>
      <c r="I80" s="13" t="s">
        <v>240</v>
      </c>
      <c r="J80" s="13" t="s">
        <v>94</v>
      </c>
      <c r="K80" t="str">
        <f t="shared" si="1"/>
        <v>('078', '2', '202607010600', 'ニュー・ジャージー'),</v>
      </c>
    </row>
    <row r="81" spans="7:11">
      <c r="G81" s="13" t="s">
        <v>241</v>
      </c>
      <c r="H81" s="13" t="s">
        <v>229</v>
      </c>
      <c r="I81" s="13" t="s">
        <v>242</v>
      </c>
      <c r="J81" s="13" t="s">
        <v>73</v>
      </c>
      <c r="K81" t="str">
        <f t="shared" si="1"/>
        <v>('079', '2', '202607011100', 'メキシコシティ'),</v>
      </c>
    </row>
    <row r="82" spans="7:11">
      <c r="G82" s="13" t="s">
        <v>243</v>
      </c>
      <c r="H82" s="13" t="s">
        <v>229</v>
      </c>
      <c r="I82" s="13" t="s">
        <v>244</v>
      </c>
      <c r="J82" s="13" t="s">
        <v>118</v>
      </c>
      <c r="K82" t="str">
        <f t="shared" si="1"/>
        <v>('080', '2', '202607020100', 'アトランタ'),</v>
      </c>
    </row>
    <row r="83" spans="7:11">
      <c r="G83" s="13" t="s">
        <v>245</v>
      </c>
      <c r="H83" s="13" t="s">
        <v>229</v>
      </c>
      <c r="I83" s="13" t="s">
        <v>246</v>
      </c>
      <c r="J83" s="13" t="s">
        <v>121</v>
      </c>
      <c r="K83" t="str">
        <f t="shared" si="1"/>
        <v>('081', '2', '202607020500', 'シアトル'),</v>
      </c>
    </row>
    <row r="84" spans="7:11">
      <c r="G84" s="13" t="s">
        <v>247</v>
      </c>
      <c r="H84" s="13" t="s">
        <v>229</v>
      </c>
      <c r="I84" s="13" t="s">
        <v>248</v>
      </c>
      <c r="J84" s="13" t="s">
        <v>88</v>
      </c>
      <c r="K84" t="str">
        <f t="shared" si="1"/>
        <v>('082', '2', '202607020900', 'サンフランシスコ・ベイエリア'),</v>
      </c>
    </row>
    <row r="85" spans="7:11">
      <c r="G85" s="13" t="s">
        <v>249</v>
      </c>
      <c r="H85" s="13" t="s">
        <v>229</v>
      </c>
      <c r="I85" s="13" t="s">
        <v>250</v>
      </c>
      <c r="J85" s="13" t="s">
        <v>82</v>
      </c>
      <c r="K85" t="str">
        <f t="shared" si="1"/>
        <v>('083', '2', '202607030400', 'ロサンゼルス'),</v>
      </c>
    </row>
    <row r="86" spans="7:11">
      <c r="G86" s="13" t="s">
        <v>251</v>
      </c>
      <c r="H86" s="13" t="s">
        <v>229</v>
      </c>
      <c r="I86" s="13" t="s">
        <v>252</v>
      </c>
      <c r="J86" s="13" t="s">
        <v>79</v>
      </c>
      <c r="K86" t="str">
        <f t="shared" si="1"/>
        <v>('084', '2', '202607030800', 'トロント'),</v>
      </c>
    </row>
    <row r="87" spans="7:11">
      <c r="G87" s="13" t="s">
        <v>253</v>
      </c>
      <c r="H87" s="13" t="s">
        <v>229</v>
      </c>
      <c r="I87" s="13" t="s">
        <v>254</v>
      </c>
      <c r="J87" s="13" t="s">
        <v>102</v>
      </c>
      <c r="K87" t="str">
        <f t="shared" si="1"/>
        <v>('085', '2', '202607031200', 'バンクーバー'),</v>
      </c>
    </row>
    <row r="88" spans="7:11">
      <c r="G88" s="13" t="s">
        <v>255</v>
      </c>
      <c r="H88" s="13" t="s">
        <v>229</v>
      </c>
      <c r="I88" s="13" t="s">
        <v>256</v>
      </c>
      <c r="J88" s="13" t="s">
        <v>109</v>
      </c>
      <c r="K88" t="str">
        <f t="shared" si="1"/>
        <v>('086', '2', '202607040300', 'ダラス'),</v>
      </c>
    </row>
    <row r="89" spans="7:11">
      <c r="G89" s="13" t="s">
        <v>257</v>
      </c>
      <c r="H89" s="13" t="s">
        <v>229</v>
      </c>
      <c r="I89" s="13" t="s">
        <v>258</v>
      </c>
      <c r="J89" s="13" t="s">
        <v>124</v>
      </c>
      <c r="K89" t="str">
        <f t="shared" si="1"/>
        <v>('087', '2', '202607040700', 'マイアミ'),</v>
      </c>
    </row>
    <row r="90" spans="7:11">
      <c r="G90" s="13" t="s">
        <v>259</v>
      </c>
      <c r="H90" s="13" t="s">
        <v>229</v>
      </c>
      <c r="I90" s="13" t="s">
        <v>260</v>
      </c>
      <c r="J90" s="13" t="s">
        <v>133</v>
      </c>
      <c r="K90" t="str">
        <f t="shared" si="1"/>
        <v>('088', '2', '202607041030', 'カンザス'),</v>
      </c>
    </row>
    <row r="91" spans="7:11">
      <c r="G91" s="13" t="s">
        <v>261</v>
      </c>
      <c r="H91" s="13" t="s">
        <v>229</v>
      </c>
      <c r="I91" s="13" t="s">
        <v>262</v>
      </c>
      <c r="J91" s="13" t="s">
        <v>106</v>
      </c>
      <c r="K91" t="str">
        <f t="shared" si="1"/>
        <v>('089', '2', '202607050200', 'ヒューストン'),</v>
      </c>
    </row>
    <row r="92" spans="7:11">
      <c r="G92" s="13" t="s">
        <v>263</v>
      </c>
      <c r="H92" s="13" t="s">
        <v>229</v>
      </c>
      <c r="I92" s="13" t="s">
        <v>264</v>
      </c>
      <c r="J92" s="13" t="s">
        <v>112</v>
      </c>
      <c r="K92" t="str">
        <f t="shared" si="1"/>
        <v>('090', '2', '202607050600', 'フィラデルフィア'),</v>
      </c>
    </row>
    <row r="93" spans="7:11">
      <c r="G93" s="13" t="s">
        <v>265</v>
      </c>
      <c r="H93" s="13" t="s">
        <v>229</v>
      </c>
      <c r="I93" s="13" t="s">
        <v>266</v>
      </c>
      <c r="J93" s="13" t="s">
        <v>94</v>
      </c>
      <c r="K93" t="str">
        <f t="shared" si="1"/>
        <v>('091', '2', '202607060500', 'ニュー・ジャージー'),</v>
      </c>
    </row>
    <row r="94" spans="7:11">
      <c r="G94" s="13" t="s">
        <v>267</v>
      </c>
      <c r="H94" s="13" t="s">
        <v>229</v>
      </c>
      <c r="I94" s="13" t="s">
        <v>268</v>
      </c>
      <c r="J94" s="13" t="s">
        <v>73</v>
      </c>
      <c r="K94" t="str">
        <f t="shared" si="1"/>
        <v>('092', '2', '202607061000', 'メキシコシティ'),</v>
      </c>
    </row>
    <row r="95" spans="7:11">
      <c r="G95" s="13" t="s">
        <v>269</v>
      </c>
      <c r="H95" s="13" t="s">
        <v>229</v>
      </c>
      <c r="I95" s="13" t="s">
        <v>270</v>
      </c>
      <c r="J95" s="13" t="s">
        <v>109</v>
      </c>
      <c r="K95" t="str">
        <f t="shared" si="1"/>
        <v>('093', '2', '202607070400', 'ダラス'),</v>
      </c>
    </row>
    <row r="96" spans="7:11">
      <c r="G96" s="13" t="s">
        <v>271</v>
      </c>
      <c r="H96" s="13" t="s">
        <v>229</v>
      </c>
      <c r="I96" s="13" t="s">
        <v>272</v>
      </c>
      <c r="J96" s="13" t="s">
        <v>121</v>
      </c>
      <c r="K96" t="str">
        <f t="shared" si="1"/>
        <v>('094', '2', '202607070900', 'シアトル'),</v>
      </c>
    </row>
    <row r="97" spans="7:11">
      <c r="G97" s="13" t="s">
        <v>273</v>
      </c>
      <c r="H97" s="13" t="s">
        <v>229</v>
      </c>
      <c r="I97" s="13" t="s">
        <v>274</v>
      </c>
      <c r="J97" s="13" t="s">
        <v>118</v>
      </c>
      <c r="K97" t="str">
        <f t="shared" si="1"/>
        <v>('095', '2', '202607080100', 'アトランタ'),</v>
      </c>
    </row>
    <row r="98" spans="7:11">
      <c r="G98" s="13" t="s">
        <v>275</v>
      </c>
      <c r="H98" s="13" t="s">
        <v>229</v>
      </c>
      <c r="I98" s="13" t="s">
        <v>276</v>
      </c>
      <c r="J98" s="13" t="s">
        <v>102</v>
      </c>
      <c r="K98" t="str">
        <f t="shared" si="1"/>
        <v>('096', '2', '202607080500', 'バンクーバー'),</v>
      </c>
    </row>
    <row r="99" spans="7:11">
      <c r="G99" s="13" t="s">
        <v>277</v>
      </c>
      <c r="H99" s="13" t="s">
        <v>229</v>
      </c>
      <c r="I99" s="13" t="s">
        <v>278</v>
      </c>
      <c r="J99" s="13" t="s">
        <v>98</v>
      </c>
      <c r="K99" t="str">
        <f t="shared" si="1"/>
        <v>('097', '2', '202607100500', 'ボストン'),</v>
      </c>
    </row>
    <row r="100" spans="7:11">
      <c r="G100" s="13" t="s">
        <v>279</v>
      </c>
      <c r="H100" s="13" t="s">
        <v>229</v>
      </c>
      <c r="I100" s="13" t="s">
        <v>280</v>
      </c>
      <c r="J100" s="13" t="s">
        <v>82</v>
      </c>
      <c r="K100" t="str">
        <f t="shared" si="1"/>
        <v>('098', '2', '202607110400', 'ロサンゼルス'),</v>
      </c>
    </row>
    <row r="101" spans="7:11">
      <c r="G101" s="13" t="s">
        <v>281</v>
      </c>
      <c r="H101" s="13" t="s">
        <v>229</v>
      </c>
      <c r="I101" s="13" t="s">
        <v>282</v>
      </c>
      <c r="J101" s="13" t="s">
        <v>124</v>
      </c>
      <c r="K101" t="str">
        <f t="shared" si="1"/>
        <v>('099', '2', '202607120600', 'マイアミ'),</v>
      </c>
    </row>
    <row r="102" spans="7:11">
      <c r="G102" s="13" t="s">
        <v>283</v>
      </c>
      <c r="H102" s="13" t="s">
        <v>229</v>
      </c>
      <c r="I102" s="13" t="s">
        <v>284</v>
      </c>
      <c r="J102" s="13" t="s">
        <v>133</v>
      </c>
      <c r="K102" t="str">
        <f t="shared" si="1"/>
        <v>('100', '2', '202607121000', 'カンザス'),</v>
      </c>
    </row>
    <row r="103" spans="7:11">
      <c r="G103" s="13" t="s">
        <v>285</v>
      </c>
      <c r="H103" s="13" t="s">
        <v>229</v>
      </c>
      <c r="I103" s="13" t="s">
        <v>286</v>
      </c>
      <c r="J103" s="13" t="s">
        <v>109</v>
      </c>
      <c r="K103" t="str">
        <f t="shared" si="1"/>
        <v>('101', '2', '202607150400', 'ダラス'),</v>
      </c>
    </row>
    <row r="104" spans="7:11">
      <c r="G104" s="13" t="s">
        <v>287</v>
      </c>
      <c r="H104" s="13" t="s">
        <v>229</v>
      </c>
      <c r="I104" s="13" t="s">
        <v>288</v>
      </c>
      <c r="J104" s="13" t="s">
        <v>118</v>
      </c>
      <c r="K104" t="str">
        <f t="shared" si="1"/>
        <v>('102', '2', '202607160400', 'アトランタ'),</v>
      </c>
    </row>
    <row r="105" spans="7:11">
      <c r="G105" s="13" t="s">
        <v>289</v>
      </c>
      <c r="H105" s="13" t="s">
        <v>229</v>
      </c>
      <c r="I105" s="13" t="s">
        <v>290</v>
      </c>
      <c r="J105" s="13" t="s">
        <v>124</v>
      </c>
      <c r="K105" t="str">
        <f t="shared" si="1"/>
        <v>('103', '2', '202607190600', 'マイアミ'),</v>
      </c>
    </row>
    <row r="106" spans="7:11">
      <c r="G106" s="13" t="s">
        <v>291</v>
      </c>
      <c r="H106" s="13" t="s">
        <v>229</v>
      </c>
      <c r="I106" s="13" t="s">
        <v>292</v>
      </c>
      <c r="J106" s="13" t="s">
        <v>94</v>
      </c>
      <c r="K106" t="str">
        <f>CHAR(9)&amp;"('"&amp;G106&amp;"', '"&amp;H106&amp;"', '"&amp;I106&amp;"', '"&amp;J106&amp;"')"</f>
        <v>('104', '2', '202607200400', 'ニュー・ジャージー')</v>
      </c>
    </row>
    <row r="107" spans="11:11">
      <c r="K107" t="s">
        <v>293</v>
      </c>
    </row>
  </sheetData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211"/>
  <sheetViews>
    <sheetView workbookViewId="0">
      <selection activeCell="A1" sqref="A1"/>
    </sheetView>
  </sheetViews>
  <sheetFormatPr defaultColWidth="3.77777777777778" defaultRowHeight="18.75"/>
  <cols>
    <col min="1" max="1" width="3.77777777777778" customWidth="1"/>
    <col min="2" max="2" width="30.7777777777778" customWidth="1"/>
    <col min="3" max="4" width="5.77777777777778" customWidth="1"/>
    <col min="5" max="5" width="40.7777777777778" customWidth="1"/>
    <col min="6" max="6" width="3.77777777777778" customWidth="1"/>
    <col min="7" max="7" width="8.77777777777778" customWidth="1"/>
    <col min="8" max="8" width="7.88888888888889" customWidth="1"/>
    <col min="9" max="9" width="5.55555555555556" customWidth="1"/>
    <col min="10" max="10" width="8.44444444444444" customWidth="1"/>
    <col min="11" max="11" width="13.3333333333333" customWidth="1"/>
    <col min="12" max="12" width="3.77777777777778" customWidth="1"/>
    <col min="13" max="13" width="16.2222222222222" customWidth="1"/>
    <col min="14" max="16382" width="3.77777777777778" customWidth="1"/>
  </cols>
  <sheetData>
    <row r="2" spans="2:13">
      <c r="B2" s="1" t="s">
        <v>37</v>
      </c>
      <c r="C2" s="1"/>
      <c r="D2" s="1"/>
      <c r="E2" s="2" t="s">
        <v>38</v>
      </c>
      <c r="G2" s="11" t="s">
        <v>65</v>
      </c>
      <c r="H2" s="11" t="s">
        <v>294</v>
      </c>
      <c r="I2" s="11" t="s">
        <v>295</v>
      </c>
      <c r="J2" s="11" t="s">
        <v>296</v>
      </c>
      <c r="K2" s="11" t="s">
        <v>297</v>
      </c>
      <c r="L2" t="s">
        <v>298</v>
      </c>
      <c r="M2" t="s">
        <v>299</v>
      </c>
    </row>
    <row r="3" spans="2:19">
      <c r="B3" s="3" t="s">
        <v>43</v>
      </c>
      <c r="C3" s="3"/>
      <c r="D3" s="3"/>
      <c r="E3" s="4" t="s">
        <v>41</v>
      </c>
      <c r="G3" s="16" t="s">
        <v>70</v>
      </c>
      <c r="H3" s="16" t="s">
        <v>300</v>
      </c>
      <c r="I3" s="17">
        <v>2</v>
      </c>
      <c r="J3" s="17" t="s">
        <v>301</v>
      </c>
      <c r="K3" s="17">
        <v>-5</v>
      </c>
      <c r="L3" t="str">
        <f t="shared" ref="L3:L66" si="0">CHAR(9)&amp;"('"&amp;G3&amp;"', '"&amp;H3&amp;"', "&amp;I3&amp;", "&amp;J3&amp;", "&amp;K3&amp;"),"</f>
        <v>('001', 'MEX', 2, NULL, -5),</v>
      </c>
      <c r="M3" t="s">
        <v>302</v>
      </c>
      <c r="S3" t="s">
        <v>303</v>
      </c>
    </row>
    <row r="4" spans="2:20">
      <c r="B4" s="1" t="s">
        <v>39</v>
      </c>
      <c r="C4" s="1"/>
      <c r="D4" s="1"/>
      <c r="E4" s="1"/>
      <c r="G4" s="16" t="s">
        <v>70</v>
      </c>
      <c r="H4" s="16" t="s">
        <v>304</v>
      </c>
      <c r="I4" s="17">
        <v>0</v>
      </c>
      <c r="J4" s="17" t="s">
        <v>301</v>
      </c>
      <c r="K4" s="17">
        <v>-10</v>
      </c>
      <c r="L4" t="str">
        <f t="shared" si="0"/>
        <v>('001', 'RSA', 0, NULL, -10),</v>
      </c>
      <c r="M4" t="s">
        <v>305</v>
      </c>
      <c r="T4" t="s">
        <v>306</v>
      </c>
    </row>
    <row r="5" spans="2:20">
      <c r="B5" s="3" t="s">
        <v>44</v>
      </c>
      <c r="C5" s="3"/>
      <c r="D5" s="3"/>
      <c r="E5" s="3"/>
      <c r="G5" s="16" t="s">
        <v>74</v>
      </c>
      <c r="H5" s="16" t="s">
        <v>307</v>
      </c>
      <c r="I5" s="17">
        <v>2</v>
      </c>
      <c r="J5" s="17" t="s">
        <v>301</v>
      </c>
      <c r="K5" s="17">
        <v>-1</v>
      </c>
      <c r="L5" t="str">
        <f t="shared" si="0"/>
        <v>('002', 'KOR', 2, NULL, -1),</v>
      </c>
      <c r="M5" t="s">
        <v>308</v>
      </c>
      <c r="T5" t="s">
        <v>309</v>
      </c>
    </row>
    <row r="6" spans="7:20">
      <c r="G6" s="16" t="s">
        <v>74</v>
      </c>
      <c r="H6" s="16" t="s">
        <v>310</v>
      </c>
      <c r="I6" s="17">
        <v>1</v>
      </c>
      <c r="J6" s="17" t="s">
        <v>301</v>
      </c>
      <c r="K6" s="17">
        <v>0</v>
      </c>
      <c r="L6" t="str">
        <f t="shared" si="0"/>
        <v>('002', 'CZE', 1, NULL, 0),</v>
      </c>
      <c r="M6" t="s">
        <v>311</v>
      </c>
      <c r="T6" t="s">
        <v>312</v>
      </c>
    </row>
    <row r="7" spans="2:20">
      <c r="B7" s="5" t="s">
        <v>83</v>
      </c>
      <c r="C7" s="5" t="s">
        <v>84</v>
      </c>
      <c r="D7" s="5" t="s">
        <v>85</v>
      </c>
      <c r="E7" s="5" t="s">
        <v>39</v>
      </c>
      <c r="G7" s="16" t="s">
        <v>77</v>
      </c>
      <c r="H7" s="16" t="s">
        <v>313</v>
      </c>
      <c r="I7" s="17">
        <v>1</v>
      </c>
      <c r="J7" s="17" t="s">
        <v>301</v>
      </c>
      <c r="K7" s="17">
        <v>-2</v>
      </c>
      <c r="L7" t="str">
        <f t="shared" si="0"/>
        <v>('003', 'CAN', 1, NULL, -2),</v>
      </c>
      <c r="M7" t="s">
        <v>314</v>
      </c>
      <c r="T7" t="s">
        <v>315</v>
      </c>
    </row>
    <row r="8" spans="2:20">
      <c r="B8" s="10" t="s">
        <v>65</v>
      </c>
      <c r="C8" s="4" t="s">
        <v>89</v>
      </c>
      <c r="D8" s="4" t="s">
        <v>90</v>
      </c>
      <c r="E8" s="10" t="s">
        <v>91</v>
      </c>
      <c r="G8" s="16" t="s">
        <v>77</v>
      </c>
      <c r="H8" s="16" t="s">
        <v>316</v>
      </c>
      <c r="I8" s="17">
        <v>1</v>
      </c>
      <c r="J8" s="17" t="s">
        <v>301</v>
      </c>
      <c r="K8" s="17">
        <v>-3</v>
      </c>
      <c r="L8" t="str">
        <f t="shared" si="0"/>
        <v>('003', 'BIH', 1, NULL, -3),</v>
      </c>
      <c r="M8" t="s">
        <v>317</v>
      </c>
      <c r="T8" t="s">
        <v>318</v>
      </c>
    </row>
    <row r="9" spans="2:13">
      <c r="B9" s="10" t="s">
        <v>294</v>
      </c>
      <c r="C9" s="4" t="s">
        <v>89</v>
      </c>
      <c r="D9" s="4" t="s">
        <v>90</v>
      </c>
      <c r="E9" s="10" t="s">
        <v>319</v>
      </c>
      <c r="G9" s="16" t="s">
        <v>80</v>
      </c>
      <c r="H9" s="16" t="s">
        <v>320</v>
      </c>
      <c r="I9" s="17">
        <v>4</v>
      </c>
      <c r="J9" s="17" t="s">
        <v>301</v>
      </c>
      <c r="K9" s="17">
        <v>-1</v>
      </c>
      <c r="L9" t="str">
        <f t="shared" si="0"/>
        <v>('004', 'USA', 4, NULL, -1),</v>
      </c>
      <c r="M9" t="s">
        <v>321</v>
      </c>
    </row>
    <row r="10" spans="2:13">
      <c r="B10" s="10" t="s">
        <v>295</v>
      </c>
      <c r="C10" s="4"/>
      <c r="D10" s="4" t="s">
        <v>322</v>
      </c>
      <c r="E10" s="10" t="s">
        <v>323</v>
      </c>
      <c r="G10" s="16" t="s">
        <v>80</v>
      </c>
      <c r="H10" s="16" t="s">
        <v>324</v>
      </c>
      <c r="I10" s="17">
        <v>1</v>
      </c>
      <c r="J10" s="17" t="s">
        <v>301</v>
      </c>
      <c r="K10" s="17">
        <v>-5</v>
      </c>
      <c r="L10" t="str">
        <f t="shared" si="0"/>
        <v>('004', 'PAR', 1, NULL, -5),</v>
      </c>
      <c r="M10" t="s">
        <v>325</v>
      </c>
    </row>
    <row r="11" spans="2:13">
      <c r="B11" s="10" t="s">
        <v>296</v>
      </c>
      <c r="C11" s="4"/>
      <c r="D11" s="4" t="s">
        <v>322</v>
      </c>
      <c r="E11" s="10" t="s">
        <v>326</v>
      </c>
      <c r="G11" s="16" t="s">
        <v>86</v>
      </c>
      <c r="H11" s="16" t="s">
        <v>327</v>
      </c>
      <c r="I11" s="17">
        <v>1</v>
      </c>
      <c r="J11" s="17" t="s">
        <v>301</v>
      </c>
      <c r="K11" s="17">
        <v>-2</v>
      </c>
      <c r="L11" t="str">
        <f t="shared" si="0"/>
        <v>('005', 'QAT', 1, NULL, -2),</v>
      </c>
      <c r="M11" t="s">
        <v>328</v>
      </c>
    </row>
    <row r="12" spans="2:13">
      <c r="B12" s="10" t="s">
        <v>297</v>
      </c>
      <c r="C12" s="4"/>
      <c r="D12" s="4" t="s">
        <v>322</v>
      </c>
      <c r="E12" s="10" t="s">
        <v>329</v>
      </c>
      <c r="G12" s="16" t="s">
        <v>86</v>
      </c>
      <c r="H12" s="16" t="s">
        <v>330</v>
      </c>
      <c r="I12" s="17">
        <v>1</v>
      </c>
      <c r="J12" s="17" t="s">
        <v>301</v>
      </c>
      <c r="K12" s="17">
        <v>-1</v>
      </c>
      <c r="L12" t="str">
        <f t="shared" si="0"/>
        <v>('005', 'SUI', 1, NULL, -1),</v>
      </c>
      <c r="M12" t="s">
        <v>331</v>
      </c>
    </row>
    <row r="13" spans="7:13">
      <c r="G13" s="16" t="s">
        <v>92</v>
      </c>
      <c r="H13" s="16" t="s">
        <v>332</v>
      </c>
      <c r="I13" s="17">
        <v>1</v>
      </c>
      <c r="J13" s="17" t="s">
        <v>301</v>
      </c>
      <c r="K13" s="17">
        <v>-2</v>
      </c>
      <c r="L13" t="str">
        <f t="shared" si="0"/>
        <v>('006', 'BRA', 1, NULL, -2),</v>
      </c>
      <c r="M13" t="s">
        <v>333</v>
      </c>
    </row>
    <row r="14" spans="7:13">
      <c r="G14" s="16" t="s">
        <v>92</v>
      </c>
      <c r="H14" s="16" t="s">
        <v>334</v>
      </c>
      <c r="I14" s="17">
        <v>1</v>
      </c>
      <c r="J14" s="17" t="s">
        <v>301</v>
      </c>
      <c r="K14" s="17">
        <v>0</v>
      </c>
      <c r="L14" t="str">
        <f t="shared" si="0"/>
        <v>('006', 'MAR', 1, NULL, 0),</v>
      </c>
      <c r="M14" t="s">
        <v>335</v>
      </c>
    </row>
    <row r="15" spans="7:13">
      <c r="G15" s="16" t="s">
        <v>96</v>
      </c>
      <c r="H15" s="16" t="s">
        <v>336</v>
      </c>
      <c r="I15" s="17">
        <v>0</v>
      </c>
      <c r="J15" s="17" t="s">
        <v>301</v>
      </c>
      <c r="K15" s="17">
        <v>-1</v>
      </c>
      <c r="L15" t="str">
        <f t="shared" si="0"/>
        <v>('007', 'HAI', 0, NULL, -1),</v>
      </c>
      <c r="M15" t="s">
        <v>337</v>
      </c>
    </row>
    <row r="16" spans="7:13">
      <c r="G16" s="16" t="s">
        <v>96</v>
      </c>
      <c r="H16" s="16" t="s">
        <v>338</v>
      </c>
      <c r="I16" s="17">
        <v>1</v>
      </c>
      <c r="J16" s="17" t="s">
        <v>301</v>
      </c>
      <c r="K16" s="17">
        <v>-3</v>
      </c>
      <c r="L16" t="str">
        <f t="shared" si="0"/>
        <v>('007', 'SCO', 1, NULL, -3),</v>
      </c>
      <c r="M16" t="s">
        <v>339</v>
      </c>
    </row>
    <row r="17" spans="7:13">
      <c r="G17" s="16" t="s">
        <v>100</v>
      </c>
      <c r="H17" s="16" t="s">
        <v>340</v>
      </c>
      <c r="I17" s="17">
        <v>2</v>
      </c>
      <c r="J17" s="17" t="s">
        <v>301</v>
      </c>
      <c r="K17" s="17">
        <v>0</v>
      </c>
      <c r="L17" t="str">
        <f t="shared" si="0"/>
        <v>('008', 'AUS', 2, NULL, 0),</v>
      </c>
      <c r="M17" t="s">
        <v>341</v>
      </c>
    </row>
    <row r="18" spans="7:13">
      <c r="G18" s="16" t="s">
        <v>100</v>
      </c>
      <c r="H18" s="16" t="s">
        <v>342</v>
      </c>
      <c r="I18" s="17">
        <v>0</v>
      </c>
      <c r="J18" s="17" t="s">
        <v>301</v>
      </c>
      <c r="K18" s="17">
        <v>-1</v>
      </c>
      <c r="L18" t="str">
        <f t="shared" si="0"/>
        <v>('008', 'TUR', 0, NULL, -1),</v>
      </c>
      <c r="M18" t="s">
        <v>343</v>
      </c>
    </row>
    <row r="19" spans="7:13">
      <c r="G19" s="16" t="s">
        <v>104</v>
      </c>
      <c r="H19" s="16" t="s">
        <v>344</v>
      </c>
      <c r="I19" s="17">
        <v>7</v>
      </c>
      <c r="J19" s="17" t="s">
        <v>301</v>
      </c>
      <c r="K19" s="17">
        <v>0</v>
      </c>
      <c r="L19" t="str">
        <f t="shared" si="0"/>
        <v>('009', 'GER', 7, NULL, 0),</v>
      </c>
      <c r="M19" t="s">
        <v>345</v>
      </c>
    </row>
    <row r="20" spans="7:13">
      <c r="G20" s="16" t="s">
        <v>104</v>
      </c>
      <c r="H20" s="16" t="s">
        <v>346</v>
      </c>
      <c r="I20" s="17">
        <v>1</v>
      </c>
      <c r="J20" s="17" t="s">
        <v>301</v>
      </c>
      <c r="K20" s="17">
        <v>0</v>
      </c>
      <c r="L20" t="str">
        <f t="shared" si="0"/>
        <v>('009', 'CUW', 1, NULL, 0),</v>
      </c>
      <c r="M20" t="s">
        <v>347</v>
      </c>
    </row>
    <row r="21" spans="7:13">
      <c r="G21" s="16" t="s">
        <v>107</v>
      </c>
      <c r="H21" s="16" t="s">
        <v>348</v>
      </c>
      <c r="I21" s="17">
        <v>2</v>
      </c>
      <c r="J21" s="17" t="s">
        <v>301</v>
      </c>
      <c r="K21" s="17">
        <v>-3</v>
      </c>
      <c r="L21" t="str">
        <f t="shared" si="0"/>
        <v>('010', 'NED', 2, NULL, -3),</v>
      </c>
      <c r="M21" t="s">
        <v>349</v>
      </c>
    </row>
    <row r="22" spans="7:13">
      <c r="G22" s="16" t="s">
        <v>107</v>
      </c>
      <c r="H22" s="16" t="s">
        <v>350</v>
      </c>
      <c r="I22" s="17">
        <v>2</v>
      </c>
      <c r="J22" s="17" t="s">
        <v>301</v>
      </c>
      <c r="K22" s="17">
        <v>0</v>
      </c>
      <c r="L22" t="str">
        <f t="shared" si="0"/>
        <v>('010', 'JPN', 2, NULL, 0),</v>
      </c>
      <c r="M22" t="s">
        <v>351</v>
      </c>
    </row>
    <row r="23" spans="7:13">
      <c r="G23" s="16" t="s">
        <v>110</v>
      </c>
      <c r="H23" s="16" t="s">
        <v>352</v>
      </c>
      <c r="I23" s="17">
        <v>1</v>
      </c>
      <c r="J23" s="17" t="s">
        <v>301</v>
      </c>
      <c r="K23" s="17">
        <v>-3</v>
      </c>
      <c r="L23" t="str">
        <f t="shared" si="0"/>
        <v>('011', 'CIV', 1, NULL, -3),</v>
      </c>
      <c r="M23" t="s">
        <v>353</v>
      </c>
    </row>
    <row r="24" spans="7:13">
      <c r="G24" s="16" t="s">
        <v>110</v>
      </c>
      <c r="H24" s="16" t="s">
        <v>354</v>
      </c>
      <c r="I24" s="17">
        <v>0</v>
      </c>
      <c r="J24" s="17" t="s">
        <v>301</v>
      </c>
      <c r="K24" s="17">
        <v>-1</v>
      </c>
      <c r="L24" t="str">
        <f t="shared" si="0"/>
        <v>('011', 'ECU', 0, NULL, -1),</v>
      </c>
      <c r="M24" t="s">
        <v>355</v>
      </c>
    </row>
    <row r="25" spans="7:13">
      <c r="G25" s="16" t="s">
        <v>113</v>
      </c>
      <c r="H25" s="16" t="s">
        <v>356</v>
      </c>
      <c r="I25" s="17">
        <v>5</v>
      </c>
      <c r="J25" s="17" t="s">
        <v>301</v>
      </c>
      <c r="K25" s="17">
        <v>0</v>
      </c>
      <c r="L25" t="str">
        <f t="shared" si="0"/>
        <v>('012', 'SWE', 5, NULL, 0),</v>
      </c>
      <c r="M25" t="s">
        <v>357</v>
      </c>
    </row>
    <row r="26" spans="7:13">
      <c r="G26" s="16" t="s">
        <v>113</v>
      </c>
      <c r="H26" s="16" t="s">
        <v>358</v>
      </c>
      <c r="I26" s="17">
        <v>1</v>
      </c>
      <c r="J26" s="17" t="s">
        <v>301</v>
      </c>
      <c r="K26" s="17">
        <v>-1</v>
      </c>
      <c r="L26" t="str">
        <f t="shared" si="0"/>
        <v>('012', 'TUN', 1, NULL, -1),</v>
      </c>
      <c r="M26" t="s">
        <v>359</v>
      </c>
    </row>
    <row r="27" spans="7:13">
      <c r="G27" s="16" t="s">
        <v>116</v>
      </c>
      <c r="H27" s="16" t="s">
        <v>360</v>
      </c>
      <c r="I27" s="17">
        <v>0</v>
      </c>
      <c r="J27" s="17" t="s">
        <v>301</v>
      </c>
      <c r="K27" s="17">
        <v>-1</v>
      </c>
      <c r="L27" t="str">
        <f t="shared" si="0"/>
        <v>('013', 'ESP', 0, NULL, -1),</v>
      </c>
      <c r="M27" t="s">
        <v>361</v>
      </c>
    </row>
    <row r="28" spans="7:13">
      <c r="G28" s="16" t="s">
        <v>116</v>
      </c>
      <c r="H28" s="16" t="s">
        <v>362</v>
      </c>
      <c r="I28" s="17">
        <v>0</v>
      </c>
      <c r="J28" s="17" t="s">
        <v>301</v>
      </c>
      <c r="K28" s="17">
        <v>-1</v>
      </c>
      <c r="L28" t="str">
        <f t="shared" si="0"/>
        <v>('013', 'CPV', 0, NULL, -1),</v>
      </c>
      <c r="M28" t="s">
        <v>363</v>
      </c>
    </row>
    <row r="29" spans="7:13">
      <c r="G29" s="16" t="s">
        <v>119</v>
      </c>
      <c r="H29" s="16" t="s">
        <v>364</v>
      </c>
      <c r="I29" s="17">
        <v>1</v>
      </c>
      <c r="J29" s="17" t="s">
        <v>301</v>
      </c>
      <c r="K29" s="17">
        <v>-2</v>
      </c>
      <c r="L29" t="str">
        <f t="shared" si="0"/>
        <v>('014', 'BEL', 1, NULL, -2),</v>
      </c>
      <c r="M29" t="s">
        <v>365</v>
      </c>
    </row>
    <row r="30" spans="7:13">
      <c r="G30" s="16" t="s">
        <v>119</v>
      </c>
      <c r="H30" s="16" t="s">
        <v>366</v>
      </c>
      <c r="I30" s="17">
        <v>1</v>
      </c>
      <c r="J30" s="17" t="s">
        <v>301</v>
      </c>
      <c r="K30" s="17">
        <v>-2</v>
      </c>
      <c r="L30" t="str">
        <f t="shared" si="0"/>
        <v>('014', 'EGY', 1, NULL, -2),</v>
      </c>
      <c r="M30" t="s">
        <v>367</v>
      </c>
    </row>
    <row r="31" spans="7:13">
      <c r="G31" s="16" t="s">
        <v>122</v>
      </c>
      <c r="H31" s="16" t="s">
        <v>368</v>
      </c>
      <c r="I31" s="17">
        <v>1</v>
      </c>
      <c r="J31" s="17" t="s">
        <v>301</v>
      </c>
      <c r="K31" s="17">
        <v>-1</v>
      </c>
      <c r="L31" t="str">
        <f t="shared" si="0"/>
        <v>('015', 'KSA', 1, NULL, -1),</v>
      </c>
      <c r="M31" t="s">
        <v>369</v>
      </c>
    </row>
    <row r="32" spans="7:13">
      <c r="G32" s="16" t="s">
        <v>122</v>
      </c>
      <c r="H32" s="16" t="s">
        <v>370</v>
      </c>
      <c r="I32" s="17">
        <v>1</v>
      </c>
      <c r="J32" s="17" t="s">
        <v>301</v>
      </c>
      <c r="K32" s="17">
        <v>0</v>
      </c>
      <c r="L32" t="str">
        <f t="shared" si="0"/>
        <v>('015', 'URU', 1, NULL, 0),</v>
      </c>
      <c r="M32" t="s">
        <v>371</v>
      </c>
    </row>
    <row r="33" spans="7:13">
      <c r="G33" s="16" t="s">
        <v>125</v>
      </c>
      <c r="H33" s="16" t="s">
        <v>372</v>
      </c>
      <c r="I33" s="17">
        <v>2</v>
      </c>
      <c r="J33" s="17" t="s">
        <v>301</v>
      </c>
      <c r="K33" s="17">
        <v>-1</v>
      </c>
      <c r="L33" t="str">
        <f t="shared" si="0"/>
        <v>('016', 'IRN', 2, NULL, -1),</v>
      </c>
      <c r="M33" t="s">
        <v>373</v>
      </c>
    </row>
    <row r="34" spans="7:13">
      <c r="G34" s="16" t="s">
        <v>125</v>
      </c>
      <c r="H34" s="16" t="s">
        <v>374</v>
      </c>
      <c r="I34" s="17">
        <v>2</v>
      </c>
      <c r="J34" s="17" t="s">
        <v>301</v>
      </c>
      <c r="K34" s="17">
        <v>0</v>
      </c>
      <c r="L34" t="str">
        <f t="shared" si="0"/>
        <v>('016', 'NZL', 2, NULL, 0),</v>
      </c>
      <c r="M34" t="s">
        <v>375</v>
      </c>
    </row>
    <row r="35" spans="7:13">
      <c r="G35" s="16" t="s">
        <v>127</v>
      </c>
      <c r="H35" s="16" t="s">
        <v>376</v>
      </c>
      <c r="I35" s="17">
        <v>3</v>
      </c>
      <c r="J35" s="17" t="s">
        <v>301</v>
      </c>
      <c r="K35" s="17">
        <v>0</v>
      </c>
      <c r="L35" t="str">
        <f t="shared" si="0"/>
        <v>('017', 'FRA', 3, NULL, 0),</v>
      </c>
      <c r="M35" t="s">
        <v>377</v>
      </c>
    </row>
    <row r="36" spans="7:13">
      <c r="G36" s="16" t="s">
        <v>127</v>
      </c>
      <c r="H36" s="16" t="s">
        <v>378</v>
      </c>
      <c r="I36" s="17">
        <v>1</v>
      </c>
      <c r="J36" s="17" t="s">
        <v>301</v>
      </c>
      <c r="K36" s="17">
        <v>0</v>
      </c>
      <c r="L36" t="str">
        <f t="shared" si="0"/>
        <v>('017', 'SEN', 1, NULL, 0),</v>
      </c>
      <c r="M36" t="s">
        <v>379</v>
      </c>
    </row>
    <row r="37" spans="7:13">
      <c r="G37" s="16" t="s">
        <v>129</v>
      </c>
      <c r="H37" s="16" t="s">
        <v>380</v>
      </c>
      <c r="I37" s="17">
        <v>1</v>
      </c>
      <c r="J37" s="17" t="s">
        <v>301</v>
      </c>
      <c r="K37" s="17">
        <v>-1</v>
      </c>
      <c r="L37" t="str">
        <f t="shared" si="0"/>
        <v>('018', 'IRQ', 1, NULL, -1),</v>
      </c>
      <c r="M37" t="s">
        <v>381</v>
      </c>
    </row>
    <row r="38" spans="7:13">
      <c r="G38" s="16" t="s">
        <v>129</v>
      </c>
      <c r="H38" s="16" t="s">
        <v>382</v>
      </c>
      <c r="I38" s="17">
        <v>4</v>
      </c>
      <c r="J38" s="17" t="s">
        <v>301</v>
      </c>
      <c r="K38" s="17">
        <v>0</v>
      </c>
      <c r="L38" t="str">
        <f t="shared" si="0"/>
        <v>('018', 'NOR', 4, NULL, 0),</v>
      </c>
      <c r="M38" t="s">
        <v>383</v>
      </c>
    </row>
    <row r="39" spans="7:13">
      <c r="G39" s="16" t="s">
        <v>131</v>
      </c>
      <c r="H39" s="16" t="s">
        <v>384</v>
      </c>
      <c r="I39" s="17">
        <v>3</v>
      </c>
      <c r="J39" s="17" t="s">
        <v>301</v>
      </c>
      <c r="K39" s="17">
        <v>0</v>
      </c>
      <c r="L39" t="str">
        <f t="shared" si="0"/>
        <v>('019', 'ARG', 3, NULL, 0),</v>
      </c>
      <c r="M39" t="s">
        <v>385</v>
      </c>
    </row>
    <row r="40" spans="7:13">
      <c r="G40" s="16" t="s">
        <v>131</v>
      </c>
      <c r="H40" s="16" t="s">
        <v>386</v>
      </c>
      <c r="I40" s="17">
        <v>0</v>
      </c>
      <c r="J40" s="17" t="s">
        <v>301</v>
      </c>
      <c r="K40" s="17">
        <v>0</v>
      </c>
      <c r="L40" t="str">
        <f t="shared" si="0"/>
        <v>('019', 'ALG', 0, NULL, 0),</v>
      </c>
      <c r="M40" t="s">
        <v>387</v>
      </c>
    </row>
    <row r="41" spans="7:13">
      <c r="G41" s="16" t="s">
        <v>134</v>
      </c>
      <c r="H41" s="16" t="s">
        <v>388</v>
      </c>
      <c r="I41" s="17">
        <v>3</v>
      </c>
      <c r="J41" s="17" t="s">
        <v>301</v>
      </c>
      <c r="K41" s="17">
        <v>-1</v>
      </c>
      <c r="L41" t="str">
        <f t="shared" si="0"/>
        <v>('020', 'AUT', 3, NULL, -1),</v>
      </c>
      <c r="M41" t="s">
        <v>389</v>
      </c>
    </row>
    <row r="42" spans="7:13">
      <c r="G42" s="16" t="s">
        <v>134</v>
      </c>
      <c r="H42" s="16" t="s">
        <v>390</v>
      </c>
      <c r="I42" s="17">
        <v>1</v>
      </c>
      <c r="J42" s="17" t="s">
        <v>301</v>
      </c>
      <c r="K42" s="17">
        <v>0</v>
      </c>
      <c r="L42" t="str">
        <f t="shared" si="0"/>
        <v>('020', 'JOR', 1, NULL, 0),</v>
      </c>
      <c r="M42" t="s">
        <v>391</v>
      </c>
    </row>
    <row r="43" spans="7:13">
      <c r="G43" s="16" t="s">
        <v>136</v>
      </c>
      <c r="H43" s="16" t="s">
        <v>392</v>
      </c>
      <c r="I43" s="17">
        <v>1</v>
      </c>
      <c r="J43" s="17" t="s">
        <v>301</v>
      </c>
      <c r="K43" s="17">
        <v>-3</v>
      </c>
      <c r="L43" t="str">
        <f t="shared" si="0"/>
        <v>('021', 'POR', 1, NULL, -3),</v>
      </c>
      <c r="M43" t="s">
        <v>393</v>
      </c>
    </row>
    <row r="44" spans="7:13">
      <c r="G44" s="16" t="s">
        <v>136</v>
      </c>
      <c r="H44" s="16" t="s">
        <v>394</v>
      </c>
      <c r="I44" s="17">
        <v>1</v>
      </c>
      <c r="J44" s="17" t="s">
        <v>301</v>
      </c>
      <c r="K44" s="17">
        <v>-1</v>
      </c>
      <c r="L44" t="str">
        <f t="shared" si="0"/>
        <v>('021', 'COD', 1, NULL, -1),</v>
      </c>
      <c r="M44" t="s">
        <v>395</v>
      </c>
    </row>
    <row r="45" spans="7:13">
      <c r="G45" s="16" t="s">
        <v>138</v>
      </c>
      <c r="H45" s="16" t="s">
        <v>396</v>
      </c>
      <c r="I45" s="17">
        <v>4</v>
      </c>
      <c r="J45" s="17" t="s">
        <v>301</v>
      </c>
      <c r="K45" s="17">
        <v>0</v>
      </c>
      <c r="L45" t="str">
        <f t="shared" si="0"/>
        <v>('022', 'ENG', 4, NULL, 0),</v>
      </c>
      <c r="M45" t="s">
        <v>397</v>
      </c>
    </row>
    <row r="46" spans="7:13">
      <c r="G46" s="16" t="s">
        <v>138</v>
      </c>
      <c r="H46" s="16" t="s">
        <v>398</v>
      </c>
      <c r="I46" s="17">
        <v>2</v>
      </c>
      <c r="J46" s="17" t="s">
        <v>301</v>
      </c>
      <c r="K46" s="17">
        <v>0</v>
      </c>
      <c r="L46" t="str">
        <f t="shared" si="0"/>
        <v>('022', 'CRO', 2, NULL, 0),</v>
      </c>
      <c r="M46" t="s">
        <v>399</v>
      </c>
    </row>
    <row r="47" spans="7:13">
      <c r="G47" s="16" t="s">
        <v>140</v>
      </c>
      <c r="H47" s="16" t="s">
        <v>400</v>
      </c>
      <c r="I47" s="17">
        <v>1</v>
      </c>
      <c r="J47" s="17" t="s">
        <v>301</v>
      </c>
      <c r="K47" s="17">
        <v>-1</v>
      </c>
      <c r="L47" t="str">
        <f t="shared" si="0"/>
        <v>('023', 'GHA', 1, NULL, -1),</v>
      </c>
      <c r="M47" t="s">
        <v>401</v>
      </c>
    </row>
    <row r="48" spans="7:13">
      <c r="G48" s="16" t="s">
        <v>140</v>
      </c>
      <c r="H48" s="16" t="s">
        <v>402</v>
      </c>
      <c r="I48" s="17">
        <v>0</v>
      </c>
      <c r="J48" s="17" t="s">
        <v>301</v>
      </c>
      <c r="K48" s="17">
        <v>-2</v>
      </c>
      <c r="L48" t="str">
        <f t="shared" si="0"/>
        <v>('023', 'PAN', 0, NULL, -2),</v>
      </c>
      <c r="M48" t="s">
        <v>403</v>
      </c>
    </row>
    <row r="49" spans="7:13">
      <c r="G49" s="16" t="s">
        <v>142</v>
      </c>
      <c r="H49" s="16" t="s">
        <v>404</v>
      </c>
      <c r="I49" s="17">
        <v>1</v>
      </c>
      <c r="J49" s="17" t="s">
        <v>301</v>
      </c>
      <c r="K49" s="17">
        <v>-1</v>
      </c>
      <c r="L49" t="str">
        <f t="shared" si="0"/>
        <v>('024', 'UZB', 1, NULL, -1),</v>
      </c>
      <c r="M49" t="s">
        <v>405</v>
      </c>
    </row>
    <row r="50" spans="7:13">
      <c r="G50" s="16" t="s">
        <v>142</v>
      </c>
      <c r="H50" s="16" t="s">
        <v>406</v>
      </c>
      <c r="I50" s="17">
        <v>3</v>
      </c>
      <c r="J50" s="17" t="s">
        <v>301</v>
      </c>
      <c r="K50" s="17">
        <v>-1</v>
      </c>
      <c r="L50" t="str">
        <f t="shared" si="0"/>
        <v>('024', 'COL', 3, NULL, -1),</v>
      </c>
      <c r="M50" t="s">
        <v>407</v>
      </c>
    </row>
    <row r="51" spans="7:13">
      <c r="G51" s="16" t="s">
        <v>144</v>
      </c>
      <c r="H51" s="16" t="s">
        <v>310</v>
      </c>
      <c r="I51" s="17">
        <v>1</v>
      </c>
      <c r="J51" s="17" t="s">
        <v>301</v>
      </c>
      <c r="K51" s="17">
        <v>-1</v>
      </c>
      <c r="L51" t="str">
        <f t="shared" si="0"/>
        <v>('025', 'CZE', 1, NULL, -1),</v>
      </c>
      <c r="M51" t="s">
        <v>311</v>
      </c>
    </row>
    <row r="52" spans="7:13">
      <c r="G52" s="16" t="s">
        <v>144</v>
      </c>
      <c r="H52" s="16" t="s">
        <v>304</v>
      </c>
      <c r="I52" s="17">
        <v>1</v>
      </c>
      <c r="J52" s="17" t="s">
        <v>301</v>
      </c>
      <c r="K52" s="17">
        <v>-2</v>
      </c>
      <c r="L52" t="str">
        <f t="shared" si="0"/>
        <v>('025', 'RSA', 1, NULL, -2),</v>
      </c>
      <c r="M52" t="s">
        <v>305</v>
      </c>
    </row>
    <row r="53" spans="7:13">
      <c r="G53" s="16" t="s">
        <v>146</v>
      </c>
      <c r="H53" s="16" t="s">
        <v>330</v>
      </c>
      <c r="I53" s="17">
        <v>4</v>
      </c>
      <c r="J53" s="17" t="s">
        <v>301</v>
      </c>
      <c r="K53" s="17">
        <v>-1</v>
      </c>
      <c r="L53" t="str">
        <f t="shared" si="0"/>
        <v>('026', 'SUI', 4, NULL, -1),</v>
      </c>
      <c r="M53" t="s">
        <v>331</v>
      </c>
    </row>
    <row r="54" spans="7:13">
      <c r="G54" s="16" t="s">
        <v>146</v>
      </c>
      <c r="H54" s="16" t="s">
        <v>316</v>
      </c>
      <c r="I54" s="17">
        <v>1</v>
      </c>
      <c r="J54" s="17" t="s">
        <v>301</v>
      </c>
      <c r="K54" s="17">
        <v>-6</v>
      </c>
      <c r="L54" t="str">
        <f t="shared" si="0"/>
        <v>('026', 'BIH', 1, NULL, -6),</v>
      </c>
      <c r="M54" t="s">
        <v>317</v>
      </c>
    </row>
    <row r="55" spans="7:13">
      <c r="G55" s="16" t="s">
        <v>148</v>
      </c>
      <c r="H55" s="16" t="s">
        <v>313</v>
      </c>
      <c r="I55" s="17">
        <v>6</v>
      </c>
      <c r="J55" s="17" t="s">
        <v>301</v>
      </c>
      <c r="K55" s="17">
        <v>-1</v>
      </c>
      <c r="L55" t="str">
        <f t="shared" si="0"/>
        <v>('027', 'CAN', 6, NULL, -1),</v>
      </c>
      <c r="M55" t="s">
        <v>314</v>
      </c>
    </row>
    <row r="56" spans="7:13">
      <c r="G56" s="16" t="s">
        <v>148</v>
      </c>
      <c r="H56" s="16" t="s">
        <v>327</v>
      </c>
      <c r="I56" s="17">
        <v>0</v>
      </c>
      <c r="J56" s="17" t="s">
        <v>301</v>
      </c>
      <c r="K56" s="17">
        <v>-9</v>
      </c>
      <c r="L56" t="str">
        <f t="shared" si="0"/>
        <v>('027', 'QAT', 0, NULL, -9),</v>
      </c>
      <c r="M56" t="s">
        <v>328</v>
      </c>
    </row>
    <row r="57" spans="7:13">
      <c r="G57" s="16" t="s">
        <v>150</v>
      </c>
      <c r="H57" s="16" t="s">
        <v>300</v>
      </c>
      <c r="I57" s="17">
        <v>1</v>
      </c>
      <c r="J57" s="17" t="s">
        <v>301</v>
      </c>
      <c r="K57" s="17">
        <v>0</v>
      </c>
      <c r="L57" t="str">
        <f t="shared" si="0"/>
        <v>('028', 'MEX', 1, NULL, 0),</v>
      </c>
      <c r="M57" t="s">
        <v>302</v>
      </c>
    </row>
    <row r="58" spans="7:13">
      <c r="G58" s="16" t="s">
        <v>150</v>
      </c>
      <c r="H58" s="16" t="s">
        <v>307</v>
      </c>
      <c r="I58" s="17">
        <v>0</v>
      </c>
      <c r="J58" s="17" t="s">
        <v>301</v>
      </c>
      <c r="K58" s="17">
        <v>-2</v>
      </c>
      <c r="L58" t="str">
        <f t="shared" si="0"/>
        <v>('028', 'KOR', 0, NULL, -2),</v>
      </c>
      <c r="M58" t="s">
        <v>308</v>
      </c>
    </row>
    <row r="59" spans="7:13">
      <c r="G59" s="16" t="s">
        <v>152</v>
      </c>
      <c r="H59" s="16" t="s">
        <v>320</v>
      </c>
      <c r="I59" s="17">
        <v>2</v>
      </c>
      <c r="J59" s="17" t="s">
        <v>301</v>
      </c>
      <c r="K59" s="17">
        <v>-3</v>
      </c>
      <c r="L59" t="str">
        <f t="shared" si="0"/>
        <v>('029', 'USA', 2, NULL, -3),</v>
      </c>
      <c r="M59" t="s">
        <v>321</v>
      </c>
    </row>
    <row r="60" spans="7:13">
      <c r="G60" s="16" t="s">
        <v>152</v>
      </c>
      <c r="H60" s="16" t="s">
        <v>340</v>
      </c>
      <c r="I60" s="17">
        <v>0</v>
      </c>
      <c r="J60" s="17" t="s">
        <v>301</v>
      </c>
      <c r="K60" s="17">
        <v>-4</v>
      </c>
      <c r="L60" t="str">
        <f t="shared" si="0"/>
        <v>('029', 'AUS', 0, NULL, -4),</v>
      </c>
      <c r="M60" t="s">
        <v>341</v>
      </c>
    </row>
    <row r="61" spans="7:13">
      <c r="G61" s="16" t="s">
        <v>154</v>
      </c>
      <c r="H61" s="16" t="s">
        <v>338</v>
      </c>
      <c r="I61" s="17">
        <v>0</v>
      </c>
      <c r="J61" s="17" t="s">
        <v>301</v>
      </c>
      <c r="K61" s="17">
        <v>-1</v>
      </c>
      <c r="L61" t="str">
        <f t="shared" si="0"/>
        <v>('030', 'SCO', 0, NULL, -1),</v>
      </c>
      <c r="M61" t="s">
        <v>339</v>
      </c>
    </row>
    <row r="62" spans="7:13">
      <c r="G62" s="16" t="s">
        <v>154</v>
      </c>
      <c r="H62" s="16" t="s">
        <v>334</v>
      </c>
      <c r="I62" s="17">
        <v>1</v>
      </c>
      <c r="J62" s="17" t="s">
        <v>301</v>
      </c>
      <c r="K62" s="17">
        <v>-1</v>
      </c>
      <c r="L62" t="str">
        <f t="shared" si="0"/>
        <v>('030', 'MAR', 1, NULL, -1),</v>
      </c>
      <c r="M62" t="s">
        <v>335</v>
      </c>
    </row>
    <row r="63" spans="7:13">
      <c r="G63" s="16" t="s">
        <v>156</v>
      </c>
      <c r="H63" s="16" t="s">
        <v>332</v>
      </c>
      <c r="I63" s="17">
        <v>3</v>
      </c>
      <c r="J63" s="17" t="s">
        <v>301</v>
      </c>
      <c r="K63" s="17">
        <v>-1</v>
      </c>
      <c r="L63" t="str">
        <f t="shared" si="0"/>
        <v>('031', 'BRA', 3, NULL, -1),</v>
      </c>
      <c r="M63" t="s">
        <v>333</v>
      </c>
    </row>
    <row r="64" spans="7:13">
      <c r="G64" s="16" t="s">
        <v>156</v>
      </c>
      <c r="H64" s="16" t="s">
        <v>336</v>
      </c>
      <c r="I64" s="17">
        <v>0</v>
      </c>
      <c r="J64" s="17" t="s">
        <v>301</v>
      </c>
      <c r="K64" s="17">
        <v>-3</v>
      </c>
      <c r="L64" t="str">
        <f t="shared" si="0"/>
        <v>('031', 'HAI', 0, NULL, -3),</v>
      </c>
      <c r="M64" t="s">
        <v>337</v>
      </c>
    </row>
    <row r="65" spans="7:13">
      <c r="G65" s="16" t="s">
        <v>158</v>
      </c>
      <c r="H65" s="16" t="s">
        <v>342</v>
      </c>
      <c r="I65" s="17">
        <v>0</v>
      </c>
      <c r="J65" s="17" t="s">
        <v>301</v>
      </c>
      <c r="K65" s="17">
        <v>-2</v>
      </c>
      <c r="L65" t="str">
        <f t="shared" si="0"/>
        <v>('032', 'TUR', 0, NULL, -2),</v>
      </c>
      <c r="M65" t="s">
        <v>343</v>
      </c>
    </row>
    <row r="66" spans="7:13">
      <c r="G66" s="16" t="s">
        <v>158</v>
      </c>
      <c r="H66" s="16" t="s">
        <v>324</v>
      </c>
      <c r="I66" s="17">
        <v>1</v>
      </c>
      <c r="J66" s="17" t="s">
        <v>301</v>
      </c>
      <c r="K66" s="17">
        <v>-6</v>
      </c>
      <c r="L66" t="str">
        <f t="shared" si="0"/>
        <v>('032', 'PAR', 1, NULL, -6),</v>
      </c>
      <c r="M66" t="s">
        <v>325</v>
      </c>
    </row>
    <row r="67" spans="7:13">
      <c r="G67" s="16" t="s">
        <v>160</v>
      </c>
      <c r="H67" s="16" t="s">
        <v>348</v>
      </c>
      <c r="I67" s="17">
        <v>5</v>
      </c>
      <c r="J67" s="17" t="s">
        <v>301</v>
      </c>
      <c r="K67" s="17">
        <v>0</v>
      </c>
      <c r="L67" t="str">
        <f t="shared" ref="L67:L130" si="1">CHAR(9)&amp;"('"&amp;G67&amp;"', '"&amp;H67&amp;"', "&amp;I67&amp;", "&amp;J67&amp;", "&amp;K67&amp;"),"</f>
        <v>('033', 'NED', 5, NULL, 0),</v>
      </c>
      <c r="M67" t="s">
        <v>349</v>
      </c>
    </row>
    <row r="68" spans="7:13">
      <c r="G68" s="16" t="s">
        <v>160</v>
      </c>
      <c r="H68" s="16" t="s">
        <v>356</v>
      </c>
      <c r="I68" s="17">
        <v>1</v>
      </c>
      <c r="J68" s="17" t="s">
        <v>301</v>
      </c>
      <c r="K68" s="17">
        <v>-3</v>
      </c>
      <c r="L68" t="str">
        <f t="shared" si="1"/>
        <v>('033', 'SWE', 1, NULL, -3),</v>
      </c>
      <c r="M68" t="s">
        <v>357</v>
      </c>
    </row>
    <row r="69" spans="7:13">
      <c r="G69" s="16" t="s">
        <v>162</v>
      </c>
      <c r="H69" s="16" t="s">
        <v>344</v>
      </c>
      <c r="I69" s="17">
        <v>2</v>
      </c>
      <c r="J69" s="17" t="s">
        <v>301</v>
      </c>
      <c r="K69" s="17">
        <v>0</v>
      </c>
      <c r="L69" t="str">
        <f t="shared" si="1"/>
        <v>('034', 'GER', 2, NULL, 0),</v>
      </c>
      <c r="M69" t="s">
        <v>345</v>
      </c>
    </row>
    <row r="70" spans="7:13">
      <c r="G70" s="16" t="s">
        <v>162</v>
      </c>
      <c r="H70" s="16" t="s">
        <v>352</v>
      </c>
      <c r="I70" s="17">
        <v>1</v>
      </c>
      <c r="J70" s="17" t="s">
        <v>301</v>
      </c>
      <c r="K70" s="17">
        <v>0</v>
      </c>
      <c r="L70" t="str">
        <f t="shared" si="1"/>
        <v>('034', 'CIV', 1, NULL, 0),</v>
      </c>
      <c r="M70" t="s">
        <v>353</v>
      </c>
    </row>
    <row r="71" spans="7:13">
      <c r="G71" s="16" t="s">
        <v>164</v>
      </c>
      <c r="H71" s="16" t="s">
        <v>354</v>
      </c>
      <c r="I71" s="17">
        <v>0</v>
      </c>
      <c r="J71" s="17" t="s">
        <v>301</v>
      </c>
      <c r="K71" s="17">
        <v>-1</v>
      </c>
      <c r="L71" t="str">
        <f t="shared" si="1"/>
        <v>('035', 'ECU', 0, NULL, -1),</v>
      </c>
      <c r="M71" t="s">
        <v>355</v>
      </c>
    </row>
    <row r="72" spans="7:13">
      <c r="G72" s="16" t="s">
        <v>164</v>
      </c>
      <c r="H72" s="16" t="s">
        <v>346</v>
      </c>
      <c r="I72" s="17">
        <v>0</v>
      </c>
      <c r="J72" s="17" t="s">
        <v>301</v>
      </c>
      <c r="K72" s="17">
        <v>-5</v>
      </c>
      <c r="L72" t="str">
        <f t="shared" si="1"/>
        <v>('035', 'CUW', 0, NULL, -5),</v>
      </c>
      <c r="M72" t="s">
        <v>347</v>
      </c>
    </row>
    <row r="73" spans="7:13">
      <c r="G73" s="16" t="s">
        <v>166</v>
      </c>
      <c r="H73" s="16" t="s">
        <v>358</v>
      </c>
      <c r="I73" s="17">
        <v>0</v>
      </c>
      <c r="J73" s="17" t="s">
        <v>301</v>
      </c>
      <c r="K73" s="17">
        <v>0</v>
      </c>
      <c r="L73" t="str">
        <f t="shared" si="1"/>
        <v>('036', 'TUN', 0, NULL, 0),</v>
      </c>
      <c r="M73" t="s">
        <v>359</v>
      </c>
    </row>
    <row r="74" spans="7:13">
      <c r="G74" s="16" t="s">
        <v>166</v>
      </c>
      <c r="H74" s="16" t="s">
        <v>350</v>
      </c>
      <c r="I74" s="17">
        <v>4</v>
      </c>
      <c r="J74" s="17" t="s">
        <v>301</v>
      </c>
      <c r="K74" s="17">
        <v>0</v>
      </c>
      <c r="L74" t="str">
        <f t="shared" si="1"/>
        <v>('036', 'JPN', 4, NULL, 0),</v>
      </c>
      <c r="M74" t="s">
        <v>351</v>
      </c>
    </row>
    <row r="75" spans="7:13">
      <c r="G75" s="16" t="s">
        <v>168</v>
      </c>
      <c r="H75" s="16" t="s">
        <v>360</v>
      </c>
      <c r="I75" s="17">
        <v>4</v>
      </c>
      <c r="J75" s="17" t="s">
        <v>301</v>
      </c>
      <c r="K75" s="17">
        <v>0</v>
      </c>
      <c r="L75" t="str">
        <f t="shared" si="1"/>
        <v>('037', 'ESP', 4, NULL, 0),</v>
      </c>
      <c r="M75" t="s">
        <v>361</v>
      </c>
    </row>
    <row r="76" spans="7:13">
      <c r="G76" s="16" t="s">
        <v>168</v>
      </c>
      <c r="H76" s="16" t="s">
        <v>368</v>
      </c>
      <c r="I76" s="17">
        <v>0</v>
      </c>
      <c r="J76" s="17" t="s">
        <v>301</v>
      </c>
      <c r="K76" s="17">
        <v>-2</v>
      </c>
      <c r="L76" t="str">
        <f t="shared" si="1"/>
        <v>('037', 'KSA', 0, NULL, -2),</v>
      </c>
      <c r="M76" t="s">
        <v>369</v>
      </c>
    </row>
    <row r="77" spans="7:13">
      <c r="G77" s="16" t="s">
        <v>170</v>
      </c>
      <c r="H77" s="16" t="s">
        <v>364</v>
      </c>
      <c r="I77" s="17">
        <v>0</v>
      </c>
      <c r="J77" s="17" t="s">
        <v>301</v>
      </c>
      <c r="K77" s="17">
        <v>-5</v>
      </c>
      <c r="L77" t="str">
        <f t="shared" si="1"/>
        <v>('038', 'BEL', 0, NULL, -5),</v>
      </c>
      <c r="M77" t="s">
        <v>365</v>
      </c>
    </row>
    <row r="78" spans="7:13">
      <c r="G78" s="16" t="s">
        <v>170</v>
      </c>
      <c r="H78" s="16" t="s">
        <v>372</v>
      </c>
      <c r="I78" s="17">
        <v>0</v>
      </c>
      <c r="J78" s="17" t="s">
        <v>301</v>
      </c>
      <c r="K78" s="17">
        <v>-1</v>
      </c>
      <c r="L78" t="str">
        <f t="shared" si="1"/>
        <v>('038', 'IRN', 0, NULL, -1),</v>
      </c>
      <c r="M78" t="s">
        <v>373</v>
      </c>
    </row>
    <row r="79" spans="7:13">
      <c r="G79" s="16" t="s">
        <v>172</v>
      </c>
      <c r="H79" s="16" t="s">
        <v>370</v>
      </c>
      <c r="I79" s="17">
        <v>2</v>
      </c>
      <c r="J79" s="17" t="s">
        <v>301</v>
      </c>
      <c r="K79" s="17">
        <v>-2</v>
      </c>
      <c r="L79" t="str">
        <f t="shared" si="1"/>
        <v>('039', 'URU', 2, NULL, -2),</v>
      </c>
      <c r="M79" t="s">
        <v>371</v>
      </c>
    </row>
    <row r="80" spans="7:13">
      <c r="G80" s="16" t="s">
        <v>172</v>
      </c>
      <c r="H80" s="16" t="s">
        <v>362</v>
      </c>
      <c r="I80" s="17">
        <v>2</v>
      </c>
      <c r="J80" s="17" t="s">
        <v>301</v>
      </c>
      <c r="K80" s="17">
        <v>-2</v>
      </c>
      <c r="L80" t="str">
        <f t="shared" si="1"/>
        <v>('039', 'CPV', 2, NULL, -2),</v>
      </c>
      <c r="M80" t="s">
        <v>363</v>
      </c>
    </row>
    <row r="81" spans="7:13">
      <c r="G81" s="16" t="s">
        <v>174</v>
      </c>
      <c r="H81" s="16" t="s">
        <v>374</v>
      </c>
      <c r="I81" s="17">
        <v>1</v>
      </c>
      <c r="J81" s="17" t="s">
        <v>301</v>
      </c>
      <c r="K81" s="17">
        <v>-2</v>
      </c>
      <c r="L81" t="str">
        <f t="shared" si="1"/>
        <v>('040', 'NZL', 1, NULL, -2),</v>
      </c>
      <c r="M81" t="s">
        <v>375</v>
      </c>
    </row>
    <row r="82" spans="7:13">
      <c r="G82" s="16" t="s">
        <v>174</v>
      </c>
      <c r="H82" s="16" t="s">
        <v>366</v>
      </c>
      <c r="I82" s="17">
        <v>3</v>
      </c>
      <c r="J82" s="17" t="s">
        <v>301</v>
      </c>
      <c r="K82" s="17">
        <v>-1</v>
      </c>
      <c r="L82" t="str">
        <f t="shared" si="1"/>
        <v>('040', 'EGY', 3, NULL, -1),</v>
      </c>
      <c r="M82" t="s">
        <v>367</v>
      </c>
    </row>
    <row r="83" spans="7:13">
      <c r="G83" s="16" t="s">
        <v>176</v>
      </c>
      <c r="H83" s="16" t="s">
        <v>384</v>
      </c>
      <c r="I83" s="17">
        <v>2</v>
      </c>
      <c r="J83" s="17" t="s">
        <v>301</v>
      </c>
      <c r="K83" s="17">
        <v>-2</v>
      </c>
      <c r="L83" t="str">
        <f t="shared" si="1"/>
        <v>('041', 'ARG', 2, NULL, -2),</v>
      </c>
      <c r="M83" t="s">
        <v>385</v>
      </c>
    </row>
    <row r="84" spans="7:13">
      <c r="G84" s="16" t="s">
        <v>176</v>
      </c>
      <c r="H84" s="16" t="s">
        <v>388</v>
      </c>
      <c r="I84" s="17">
        <v>0</v>
      </c>
      <c r="J84" s="17" t="s">
        <v>301</v>
      </c>
      <c r="K84" s="17">
        <v>-2</v>
      </c>
      <c r="L84" t="str">
        <f t="shared" si="1"/>
        <v>('041', 'AUT', 0, NULL, -2),</v>
      </c>
      <c r="M84" t="s">
        <v>389</v>
      </c>
    </row>
    <row r="85" spans="7:13">
      <c r="G85" s="16" t="s">
        <v>178</v>
      </c>
      <c r="H85" s="16" t="s">
        <v>376</v>
      </c>
      <c r="I85" s="17">
        <v>3</v>
      </c>
      <c r="J85" s="17" t="s">
        <v>301</v>
      </c>
      <c r="K85" s="17">
        <v>0</v>
      </c>
      <c r="L85" t="str">
        <f t="shared" si="1"/>
        <v>('042', 'FRA', 3, NULL, 0),</v>
      </c>
      <c r="M85" t="s">
        <v>377</v>
      </c>
    </row>
    <row r="86" spans="7:13">
      <c r="G86" s="16" t="s">
        <v>178</v>
      </c>
      <c r="H86" s="16" t="s">
        <v>380</v>
      </c>
      <c r="I86" s="17">
        <v>0</v>
      </c>
      <c r="J86" s="17" t="s">
        <v>301</v>
      </c>
      <c r="K86" s="17">
        <v>-1</v>
      </c>
      <c r="L86" t="str">
        <f t="shared" si="1"/>
        <v>('042', 'IRQ', 0, NULL, -1),</v>
      </c>
      <c r="M86" t="s">
        <v>381</v>
      </c>
    </row>
    <row r="87" spans="7:13">
      <c r="G87" s="16" t="s">
        <v>180</v>
      </c>
      <c r="H87" s="16" t="s">
        <v>382</v>
      </c>
      <c r="I87" s="17">
        <v>3</v>
      </c>
      <c r="J87" s="17" t="s">
        <v>301</v>
      </c>
      <c r="K87" s="17">
        <v>0</v>
      </c>
      <c r="L87" t="str">
        <f t="shared" si="1"/>
        <v>('043', 'NOR', 3, NULL, 0),</v>
      </c>
      <c r="M87" t="s">
        <v>383</v>
      </c>
    </row>
    <row r="88" spans="7:13">
      <c r="G88" s="16" t="s">
        <v>180</v>
      </c>
      <c r="H88" s="16" t="s">
        <v>378</v>
      </c>
      <c r="I88" s="17">
        <v>2</v>
      </c>
      <c r="J88" s="17" t="s">
        <v>301</v>
      </c>
      <c r="K88" s="17">
        <v>0</v>
      </c>
      <c r="L88" t="str">
        <f t="shared" si="1"/>
        <v>('043', 'SEN', 2, NULL, 0),</v>
      </c>
      <c r="M88" t="s">
        <v>379</v>
      </c>
    </row>
    <row r="89" spans="7:13">
      <c r="G89" s="16" t="s">
        <v>182</v>
      </c>
      <c r="H89" s="16" t="s">
        <v>390</v>
      </c>
      <c r="I89" s="17">
        <v>1</v>
      </c>
      <c r="J89" s="17" t="s">
        <v>301</v>
      </c>
      <c r="K89" s="17">
        <v>-1</v>
      </c>
      <c r="L89" t="str">
        <f t="shared" si="1"/>
        <v>('044', 'JOR', 1, NULL, -1),</v>
      </c>
      <c r="M89" t="s">
        <v>391</v>
      </c>
    </row>
    <row r="90" spans="7:13">
      <c r="G90" s="16" t="s">
        <v>182</v>
      </c>
      <c r="H90" s="16" t="s">
        <v>386</v>
      </c>
      <c r="I90" s="17">
        <v>2</v>
      </c>
      <c r="J90" s="17" t="s">
        <v>301</v>
      </c>
      <c r="K90" s="17">
        <v>-1</v>
      </c>
      <c r="L90" t="str">
        <f t="shared" si="1"/>
        <v>('044', 'ALG', 2, NULL, -1),</v>
      </c>
      <c r="M90" t="s">
        <v>387</v>
      </c>
    </row>
    <row r="91" spans="7:13">
      <c r="G91" s="16" t="s">
        <v>184</v>
      </c>
      <c r="H91" s="16" t="s">
        <v>392</v>
      </c>
      <c r="I91" s="17">
        <v>5</v>
      </c>
      <c r="J91" s="17" t="s">
        <v>301</v>
      </c>
      <c r="K91" s="17">
        <v>-1</v>
      </c>
      <c r="L91" t="str">
        <f t="shared" si="1"/>
        <v>('045', 'POR', 5, NULL, -1),</v>
      </c>
      <c r="M91" t="s">
        <v>393</v>
      </c>
    </row>
    <row r="92" spans="7:13">
      <c r="G92" s="16" t="s">
        <v>184</v>
      </c>
      <c r="H92" s="16" t="s">
        <v>404</v>
      </c>
      <c r="I92" s="17">
        <v>0</v>
      </c>
      <c r="J92" s="17" t="s">
        <v>301</v>
      </c>
      <c r="K92" s="17">
        <v>-1</v>
      </c>
      <c r="L92" t="str">
        <f t="shared" si="1"/>
        <v>('045', 'UZB', 0, NULL, -1),</v>
      </c>
      <c r="M92" t="s">
        <v>405</v>
      </c>
    </row>
    <row r="93" spans="7:13">
      <c r="G93" s="16" t="s">
        <v>186</v>
      </c>
      <c r="H93" s="16" t="s">
        <v>396</v>
      </c>
      <c r="I93" s="17">
        <v>0</v>
      </c>
      <c r="J93" s="17" t="s">
        <v>301</v>
      </c>
      <c r="K93" s="17">
        <v>-1</v>
      </c>
      <c r="L93" t="str">
        <f t="shared" si="1"/>
        <v>('046', 'ENG', 0, NULL, -1),</v>
      </c>
      <c r="M93" t="s">
        <v>397</v>
      </c>
    </row>
    <row r="94" spans="7:13">
      <c r="G94" s="16" t="s">
        <v>186</v>
      </c>
      <c r="H94" s="16" t="s">
        <v>400</v>
      </c>
      <c r="I94" s="17">
        <v>0</v>
      </c>
      <c r="J94" s="17" t="s">
        <v>301</v>
      </c>
      <c r="K94" s="17">
        <v>-1</v>
      </c>
      <c r="L94" t="str">
        <f t="shared" si="1"/>
        <v>('046', 'GHA', 0, NULL, -1),</v>
      </c>
      <c r="M94" t="s">
        <v>401</v>
      </c>
    </row>
    <row r="95" spans="7:13">
      <c r="G95" s="16" t="s">
        <v>188</v>
      </c>
      <c r="H95" s="16" t="s">
        <v>402</v>
      </c>
      <c r="I95" s="17">
        <v>0</v>
      </c>
      <c r="J95" s="17" t="s">
        <v>301</v>
      </c>
      <c r="K95" s="17">
        <v>-1</v>
      </c>
      <c r="L95" t="str">
        <f t="shared" si="1"/>
        <v>('047', 'PAN', 0, NULL, -1),</v>
      </c>
      <c r="M95" t="s">
        <v>403</v>
      </c>
    </row>
    <row r="96" spans="7:13">
      <c r="G96" s="16" t="s">
        <v>188</v>
      </c>
      <c r="H96" s="16" t="s">
        <v>398</v>
      </c>
      <c r="I96" s="17">
        <v>1</v>
      </c>
      <c r="J96" s="17" t="s">
        <v>301</v>
      </c>
      <c r="K96" s="17">
        <v>-1</v>
      </c>
      <c r="L96" t="str">
        <f t="shared" si="1"/>
        <v>('047', 'CRO', 1, NULL, -1),</v>
      </c>
      <c r="M96" t="s">
        <v>399</v>
      </c>
    </row>
    <row r="97" spans="7:13">
      <c r="G97" s="16" t="s">
        <v>190</v>
      </c>
      <c r="H97" s="16" t="s">
        <v>406</v>
      </c>
      <c r="I97" s="17">
        <v>1</v>
      </c>
      <c r="J97" s="17" t="s">
        <v>301</v>
      </c>
      <c r="K97" s="17">
        <v>-2</v>
      </c>
      <c r="L97" t="str">
        <f t="shared" si="1"/>
        <v>('048', 'COL', 1, NULL, -2),</v>
      </c>
      <c r="M97" t="s">
        <v>407</v>
      </c>
    </row>
    <row r="98" spans="7:13">
      <c r="G98" s="16" t="s">
        <v>190</v>
      </c>
      <c r="H98" s="16" t="s">
        <v>394</v>
      </c>
      <c r="I98" s="17">
        <v>0</v>
      </c>
      <c r="J98" s="17" t="s">
        <v>301</v>
      </c>
      <c r="K98" s="17">
        <v>-1</v>
      </c>
      <c r="L98" t="str">
        <f t="shared" si="1"/>
        <v>('048', 'COD', 0, NULL, -1),</v>
      </c>
      <c r="M98" t="s">
        <v>395</v>
      </c>
    </row>
    <row r="99" spans="7:13">
      <c r="G99" s="16" t="s">
        <v>192</v>
      </c>
      <c r="H99" s="16" t="s">
        <v>330</v>
      </c>
      <c r="I99" s="17">
        <v>2</v>
      </c>
      <c r="J99" s="17" t="s">
        <v>301</v>
      </c>
      <c r="K99" s="17">
        <v>-1</v>
      </c>
      <c r="L99" t="str">
        <f t="shared" si="1"/>
        <v>('049', 'SUI', 2, NULL, -1),</v>
      </c>
      <c r="M99" t="s">
        <v>331</v>
      </c>
    </row>
    <row r="100" spans="7:13">
      <c r="G100" s="16" t="s">
        <v>192</v>
      </c>
      <c r="H100" s="16" t="s">
        <v>313</v>
      </c>
      <c r="I100" s="17">
        <v>1</v>
      </c>
      <c r="J100" s="17" t="s">
        <v>301</v>
      </c>
      <c r="K100" s="17">
        <v>-2</v>
      </c>
      <c r="L100" t="str">
        <f t="shared" si="1"/>
        <v>('049', 'CAN', 1, NULL, -2),</v>
      </c>
      <c r="M100" t="s">
        <v>314</v>
      </c>
    </row>
    <row r="101" spans="7:13">
      <c r="G101" s="16" t="s">
        <v>194</v>
      </c>
      <c r="H101" s="16" t="s">
        <v>316</v>
      </c>
      <c r="I101" s="17">
        <v>3</v>
      </c>
      <c r="J101" s="17" t="s">
        <v>301</v>
      </c>
      <c r="K101" s="17">
        <v>-1</v>
      </c>
      <c r="L101" t="str">
        <f t="shared" si="1"/>
        <v>('050', 'BIH', 3, NULL, -1),</v>
      </c>
      <c r="M101" t="s">
        <v>317</v>
      </c>
    </row>
    <row r="102" spans="7:13">
      <c r="G102" s="16" t="s">
        <v>194</v>
      </c>
      <c r="H102" s="16" t="s">
        <v>327</v>
      </c>
      <c r="I102" s="17">
        <v>1</v>
      </c>
      <c r="J102" s="17" t="s">
        <v>301</v>
      </c>
      <c r="K102" s="17">
        <v>-1</v>
      </c>
      <c r="L102" t="str">
        <f t="shared" si="1"/>
        <v>('050', 'QAT', 1, NULL, -1),</v>
      </c>
      <c r="M102" t="s">
        <v>328</v>
      </c>
    </row>
    <row r="103" spans="7:13">
      <c r="G103" s="16" t="s">
        <v>195</v>
      </c>
      <c r="H103" s="16" t="s">
        <v>338</v>
      </c>
      <c r="I103" s="17">
        <v>0</v>
      </c>
      <c r="J103" s="17" t="s">
        <v>301</v>
      </c>
      <c r="K103" s="17">
        <v>-1</v>
      </c>
      <c r="L103" t="str">
        <f t="shared" si="1"/>
        <v>('051', 'SCO', 0, NULL, -1),</v>
      </c>
      <c r="M103" t="s">
        <v>339</v>
      </c>
    </row>
    <row r="104" spans="7:13">
      <c r="G104" s="16" t="s">
        <v>195</v>
      </c>
      <c r="H104" s="16" t="s">
        <v>332</v>
      </c>
      <c r="I104" s="17">
        <v>3</v>
      </c>
      <c r="J104" s="17" t="s">
        <v>301</v>
      </c>
      <c r="K104" s="17">
        <v>-2</v>
      </c>
      <c r="L104" t="str">
        <f t="shared" si="1"/>
        <v>('051', 'BRA', 3, NULL, -2),</v>
      </c>
      <c r="M104" t="s">
        <v>333</v>
      </c>
    </row>
    <row r="105" spans="7:13">
      <c r="G105" s="16" t="s">
        <v>197</v>
      </c>
      <c r="H105" s="16" t="s">
        <v>334</v>
      </c>
      <c r="I105" s="17">
        <v>4</v>
      </c>
      <c r="J105" s="17" t="s">
        <v>301</v>
      </c>
      <c r="K105" s="17">
        <v>0</v>
      </c>
      <c r="L105" t="str">
        <f t="shared" si="1"/>
        <v>('052', 'MAR', 4, NULL, 0),</v>
      </c>
      <c r="M105" t="s">
        <v>335</v>
      </c>
    </row>
    <row r="106" spans="7:13">
      <c r="G106" s="16" t="s">
        <v>197</v>
      </c>
      <c r="H106" s="16" t="s">
        <v>336</v>
      </c>
      <c r="I106" s="17">
        <v>2</v>
      </c>
      <c r="J106" s="17" t="s">
        <v>301</v>
      </c>
      <c r="K106" s="17">
        <v>-3</v>
      </c>
      <c r="L106" t="str">
        <f t="shared" si="1"/>
        <v>('052', 'HAI', 2, NULL, -3),</v>
      </c>
      <c r="M106" t="s">
        <v>337</v>
      </c>
    </row>
    <row r="107" spans="7:13">
      <c r="G107" s="16" t="s">
        <v>198</v>
      </c>
      <c r="H107" s="16" t="s">
        <v>310</v>
      </c>
      <c r="I107" s="17">
        <v>0</v>
      </c>
      <c r="J107" s="17" t="s">
        <v>301</v>
      </c>
      <c r="K107" s="17">
        <v>0</v>
      </c>
      <c r="L107" t="str">
        <f t="shared" si="1"/>
        <v>('053', 'CZE', 0, NULL, 0),</v>
      </c>
      <c r="M107" t="s">
        <v>311</v>
      </c>
    </row>
    <row r="108" spans="7:13">
      <c r="G108" s="16" t="s">
        <v>198</v>
      </c>
      <c r="H108" s="16" t="s">
        <v>300</v>
      </c>
      <c r="I108" s="17">
        <v>3</v>
      </c>
      <c r="J108" s="17" t="s">
        <v>301</v>
      </c>
      <c r="K108" s="17">
        <v>-1</v>
      </c>
      <c r="L108" t="str">
        <f t="shared" si="1"/>
        <v>('053', 'MEX', 3, NULL, -1),</v>
      </c>
      <c r="M108" t="s">
        <v>302</v>
      </c>
    </row>
    <row r="109" spans="7:13">
      <c r="G109" s="16" t="s">
        <v>200</v>
      </c>
      <c r="H109" s="16" t="s">
        <v>304</v>
      </c>
      <c r="I109" s="17">
        <v>1</v>
      </c>
      <c r="J109" s="17" t="s">
        <v>301</v>
      </c>
      <c r="K109" s="17">
        <v>-1</v>
      </c>
      <c r="L109" t="str">
        <f t="shared" si="1"/>
        <v>('054', 'RSA', 1, NULL, -1),</v>
      </c>
      <c r="M109" t="s">
        <v>305</v>
      </c>
    </row>
    <row r="110" spans="7:13">
      <c r="G110" s="16" t="s">
        <v>200</v>
      </c>
      <c r="H110" s="16" t="s">
        <v>307</v>
      </c>
      <c r="I110" s="17">
        <v>0</v>
      </c>
      <c r="J110" s="17" t="s">
        <v>301</v>
      </c>
      <c r="K110" s="17">
        <v>-1</v>
      </c>
      <c r="L110" t="str">
        <f t="shared" si="1"/>
        <v>('054', 'KOR', 0, NULL, -1),</v>
      </c>
      <c r="M110" t="s">
        <v>308</v>
      </c>
    </row>
    <row r="111" spans="7:13">
      <c r="G111" s="16" t="s">
        <v>201</v>
      </c>
      <c r="H111" s="16" t="s">
        <v>346</v>
      </c>
      <c r="I111" s="17">
        <v>0</v>
      </c>
      <c r="J111" s="17" t="s">
        <v>301</v>
      </c>
      <c r="K111" s="17">
        <v>-2</v>
      </c>
      <c r="L111" t="str">
        <f t="shared" si="1"/>
        <v>('055', 'CUW', 0, NULL, -2),</v>
      </c>
      <c r="M111" t="s">
        <v>347</v>
      </c>
    </row>
    <row r="112" spans="7:13">
      <c r="G112" s="16" t="s">
        <v>201</v>
      </c>
      <c r="H112" s="16" t="s">
        <v>352</v>
      </c>
      <c r="I112" s="17">
        <v>2</v>
      </c>
      <c r="J112" s="17" t="s">
        <v>301</v>
      </c>
      <c r="K112" s="17">
        <v>-1</v>
      </c>
      <c r="L112" t="str">
        <f t="shared" si="1"/>
        <v>('055', 'CIV', 2, NULL, -1),</v>
      </c>
      <c r="M112" t="s">
        <v>353</v>
      </c>
    </row>
    <row r="113" spans="7:13">
      <c r="G113" s="16" t="s">
        <v>203</v>
      </c>
      <c r="H113" s="16" t="s">
        <v>354</v>
      </c>
      <c r="I113" s="17">
        <v>2</v>
      </c>
      <c r="J113" s="17" t="s">
        <v>301</v>
      </c>
      <c r="K113" s="17">
        <v>-3</v>
      </c>
      <c r="L113" t="str">
        <f t="shared" si="1"/>
        <v>('056', 'ECU', 2, NULL, -3),</v>
      </c>
      <c r="M113" t="s">
        <v>355</v>
      </c>
    </row>
    <row r="114" spans="7:13">
      <c r="G114" s="16" t="s">
        <v>203</v>
      </c>
      <c r="H114" s="16" t="s">
        <v>344</v>
      </c>
      <c r="I114" s="17">
        <v>1</v>
      </c>
      <c r="J114" s="17" t="s">
        <v>301</v>
      </c>
      <c r="K114" s="17">
        <v>-1</v>
      </c>
      <c r="L114" t="str">
        <f t="shared" si="1"/>
        <v>('056', 'GER', 1, NULL, -1),</v>
      </c>
      <c r="M114" t="s">
        <v>345</v>
      </c>
    </row>
    <row r="115" spans="7:13">
      <c r="G115" s="16" t="s">
        <v>204</v>
      </c>
      <c r="H115" s="16" t="s">
        <v>350</v>
      </c>
      <c r="I115" s="17">
        <v>1</v>
      </c>
      <c r="J115" s="17" t="s">
        <v>301</v>
      </c>
      <c r="K115" s="17">
        <v>-1</v>
      </c>
      <c r="L115" t="str">
        <f t="shared" si="1"/>
        <v>('057', 'JPN', 1, NULL, -1),</v>
      </c>
      <c r="M115" t="s">
        <v>351</v>
      </c>
    </row>
    <row r="116" spans="7:13">
      <c r="G116" s="16" t="s">
        <v>204</v>
      </c>
      <c r="H116" s="16" t="s">
        <v>356</v>
      </c>
      <c r="I116" s="17">
        <v>1</v>
      </c>
      <c r="J116" s="17" t="s">
        <v>301</v>
      </c>
      <c r="K116" s="17">
        <v>-2</v>
      </c>
      <c r="L116" t="str">
        <f t="shared" si="1"/>
        <v>('057', 'SWE', 1, NULL, -2),</v>
      </c>
      <c r="M116" t="s">
        <v>357</v>
      </c>
    </row>
    <row r="117" spans="7:13">
      <c r="G117" s="16" t="s">
        <v>206</v>
      </c>
      <c r="H117" s="16" t="s">
        <v>358</v>
      </c>
      <c r="I117" s="17">
        <v>1</v>
      </c>
      <c r="J117" s="17" t="s">
        <v>301</v>
      </c>
      <c r="K117" s="17">
        <v>0</v>
      </c>
      <c r="L117" t="str">
        <f t="shared" si="1"/>
        <v>('058', 'TUN', 1, NULL, 0),</v>
      </c>
      <c r="M117" t="s">
        <v>359</v>
      </c>
    </row>
    <row r="118" spans="7:13">
      <c r="G118" s="16" t="s">
        <v>206</v>
      </c>
      <c r="H118" s="16" t="s">
        <v>348</v>
      </c>
      <c r="I118" s="17">
        <v>3</v>
      </c>
      <c r="J118" s="17" t="s">
        <v>301</v>
      </c>
      <c r="K118" s="17">
        <v>0</v>
      </c>
      <c r="L118" t="str">
        <f t="shared" si="1"/>
        <v>('058', 'NED', 3, NULL, 0),</v>
      </c>
      <c r="M118" t="s">
        <v>349</v>
      </c>
    </row>
    <row r="119" spans="7:13">
      <c r="G119" s="16" t="s">
        <v>207</v>
      </c>
      <c r="H119" s="16" t="s">
        <v>342</v>
      </c>
      <c r="I119" s="17">
        <v>3</v>
      </c>
      <c r="J119" s="17" t="s">
        <v>301</v>
      </c>
      <c r="K119" s="17">
        <v>0</v>
      </c>
      <c r="L119" t="str">
        <f t="shared" si="1"/>
        <v>('059', 'TUR', 3, NULL, 0),</v>
      </c>
      <c r="M119" t="s">
        <v>343</v>
      </c>
    </row>
    <row r="120" spans="7:13">
      <c r="G120" s="16" t="s">
        <v>207</v>
      </c>
      <c r="H120" s="16" t="s">
        <v>320</v>
      </c>
      <c r="I120" s="17">
        <v>2</v>
      </c>
      <c r="J120" s="17" t="s">
        <v>301</v>
      </c>
      <c r="K120" s="17">
        <v>-1</v>
      </c>
      <c r="L120" t="str">
        <f t="shared" si="1"/>
        <v>('059', 'USA', 2, NULL, -1),</v>
      </c>
      <c r="M120" t="s">
        <v>321</v>
      </c>
    </row>
    <row r="121" spans="7:13">
      <c r="G121" s="16" t="s">
        <v>209</v>
      </c>
      <c r="H121" s="16" t="s">
        <v>324</v>
      </c>
      <c r="I121" s="17">
        <v>0</v>
      </c>
      <c r="J121" s="17" t="s">
        <v>301</v>
      </c>
      <c r="K121" s="17">
        <v>-1</v>
      </c>
      <c r="L121" t="str">
        <f t="shared" si="1"/>
        <v>('060', 'PAR', 0, NULL, -1),</v>
      </c>
      <c r="M121" t="s">
        <v>325</v>
      </c>
    </row>
    <row r="122" spans="7:13">
      <c r="G122" s="16" t="s">
        <v>209</v>
      </c>
      <c r="H122" s="16" t="s">
        <v>340</v>
      </c>
      <c r="I122" s="17">
        <v>0</v>
      </c>
      <c r="J122" s="17" t="s">
        <v>301</v>
      </c>
      <c r="K122" s="17">
        <v>-1</v>
      </c>
      <c r="L122" t="str">
        <f t="shared" si="1"/>
        <v>('060', 'AUS', 0, NULL, -1),</v>
      </c>
      <c r="M122" t="s">
        <v>341</v>
      </c>
    </row>
    <row r="123" spans="7:13">
      <c r="G123" s="16" t="s">
        <v>210</v>
      </c>
      <c r="H123" s="16" t="s">
        <v>382</v>
      </c>
      <c r="I123" s="17">
        <v>1</v>
      </c>
      <c r="J123" s="17" t="s">
        <v>301</v>
      </c>
      <c r="K123" s="17">
        <v>-1</v>
      </c>
      <c r="L123" t="str">
        <f t="shared" si="1"/>
        <v>('061', 'NOR', 1, NULL, -1),</v>
      </c>
      <c r="M123" t="s">
        <v>383</v>
      </c>
    </row>
    <row r="124" spans="7:13">
      <c r="G124" s="16" t="s">
        <v>210</v>
      </c>
      <c r="H124" s="16" t="s">
        <v>376</v>
      </c>
      <c r="I124" s="17">
        <v>4</v>
      </c>
      <c r="J124" s="17" t="s">
        <v>301</v>
      </c>
      <c r="K124" s="17">
        <v>-1</v>
      </c>
      <c r="L124" t="str">
        <f t="shared" si="1"/>
        <v>('061', 'FRA', 4, NULL, -1),</v>
      </c>
      <c r="M124" t="s">
        <v>377</v>
      </c>
    </row>
    <row r="125" spans="7:13">
      <c r="G125" s="16" t="s">
        <v>212</v>
      </c>
      <c r="H125" s="16" t="s">
        <v>378</v>
      </c>
      <c r="I125" s="17">
        <v>5</v>
      </c>
      <c r="J125" s="17" t="s">
        <v>301</v>
      </c>
      <c r="K125" s="17">
        <v>-2</v>
      </c>
      <c r="L125" t="str">
        <f t="shared" si="1"/>
        <v>('062', 'SEN', 5, NULL, -2),</v>
      </c>
      <c r="M125" t="s">
        <v>379</v>
      </c>
    </row>
    <row r="126" spans="7:13">
      <c r="G126" s="16" t="s">
        <v>212</v>
      </c>
      <c r="H126" s="16" t="s">
        <v>380</v>
      </c>
      <c r="I126" s="17">
        <v>0</v>
      </c>
      <c r="J126" s="17" t="s">
        <v>301</v>
      </c>
      <c r="K126" s="17">
        <v>-6</v>
      </c>
      <c r="L126" t="str">
        <f t="shared" si="1"/>
        <v>('062', 'IRQ', 0, NULL, -6),</v>
      </c>
      <c r="M126" t="s">
        <v>381</v>
      </c>
    </row>
    <row r="127" spans="7:13">
      <c r="G127" s="16" t="s">
        <v>213</v>
      </c>
      <c r="H127" s="16" t="s">
        <v>362</v>
      </c>
      <c r="I127" s="17">
        <v>0</v>
      </c>
      <c r="J127" s="17" t="s">
        <v>301</v>
      </c>
      <c r="K127" s="17">
        <v>-1</v>
      </c>
      <c r="L127" t="str">
        <f t="shared" si="1"/>
        <v>('063', 'CPV', 0, NULL, -1),</v>
      </c>
      <c r="M127" t="s">
        <v>363</v>
      </c>
    </row>
    <row r="128" spans="7:13">
      <c r="G128" s="16" t="s">
        <v>213</v>
      </c>
      <c r="H128" s="16" t="s">
        <v>368</v>
      </c>
      <c r="I128" s="17">
        <v>0</v>
      </c>
      <c r="J128" s="17" t="s">
        <v>301</v>
      </c>
      <c r="K128" s="17">
        <v>-3</v>
      </c>
      <c r="L128" t="str">
        <f t="shared" si="1"/>
        <v>('063', 'KSA', 0, NULL, -3),</v>
      </c>
      <c r="M128" t="s">
        <v>369</v>
      </c>
    </row>
    <row r="129" spans="7:13">
      <c r="G129" s="16" t="s">
        <v>215</v>
      </c>
      <c r="H129" s="16" t="s">
        <v>370</v>
      </c>
      <c r="I129" s="17">
        <v>0</v>
      </c>
      <c r="J129" s="17" t="s">
        <v>301</v>
      </c>
      <c r="K129" s="17">
        <v>-7</v>
      </c>
      <c r="L129" t="str">
        <f t="shared" si="1"/>
        <v>('064', 'URU', 0, NULL, -7),</v>
      </c>
      <c r="M129" t="s">
        <v>371</v>
      </c>
    </row>
    <row r="130" spans="7:13">
      <c r="G130" s="16" t="s">
        <v>215</v>
      </c>
      <c r="H130" s="16" t="s">
        <v>360</v>
      </c>
      <c r="I130" s="17">
        <v>1</v>
      </c>
      <c r="J130" s="17" t="s">
        <v>301</v>
      </c>
      <c r="K130" s="17">
        <v>-1</v>
      </c>
      <c r="L130" t="str">
        <f t="shared" si="1"/>
        <v>('064', 'ESP', 1, NULL, -1),</v>
      </c>
      <c r="M130" t="s">
        <v>361</v>
      </c>
    </row>
    <row r="131" spans="7:13">
      <c r="G131" s="16" t="s">
        <v>216</v>
      </c>
      <c r="H131" s="16" t="s">
        <v>366</v>
      </c>
      <c r="I131" s="17">
        <v>1</v>
      </c>
      <c r="J131" s="17" t="s">
        <v>301</v>
      </c>
      <c r="K131" s="17">
        <v>-3</v>
      </c>
      <c r="L131" t="str">
        <f t="shared" ref="L131:L194" si="2">CHAR(9)&amp;"('"&amp;G131&amp;"', '"&amp;H131&amp;"', "&amp;I131&amp;", "&amp;J131&amp;", "&amp;K131&amp;"),"</f>
        <v>('065', 'EGY', 1, NULL, -3),</v>
      </c>
      <c r="M131" t="s">
        <v>367</v>
      </c>
    </row>
    <row r="132" spans="7:13">
      <c r="G132" s="16" t="s">
        <v>216</v>
      </c>
      <c r="H132" s="16" t="s">
        <v>372</v>
      </c>
      <c r="I132" s="17">
        <v>1</v>
      </c>
      <c r="J132" s="17" t="s">
        <v>301</v>
      </c>
      <c r="K132" s="17">
        <v>-4</v>
      </c>
      <c r="L132" t="str">
        <f t="shared" si="2"/>
        <v>('065', 'IRN', 1, NULL, -4),</v>
      </c>
      <c r="M132" t="s">
        <v>373</v>
      </c>
    </row>
    <row r="133" spans="7:13">
      <c r="G133" s="16" t="s">
        <v>218</v>
      </c>
      <c r="H133" s="16" t="s">
        <v>374</v>
      </c>
      <c r="I133" s="17">
        <v>1</v>
      </c>
      <c r="J133" s="17" t="s">
        <v>301</v>
      </c>
      <c r="K133" s="17">
        <v>-2</v>
      </c>
      <c r="L133" t="str">
        <f t="shared" si="2"/>
        <v>('066', 'NZL', 1, NULL, -2),</v>
      </c>
      <c r="M133" t="s">
        <v>375</v>
      </c>
    </row>
    <row r="134" spans="7:13">
      <c r="G134" s="16" t="s">
        <v>218</v>
      </c>
      <c r="H134" s="16" t="s">
        <v>364</v>
      </c>
      <c r="I134" s="17">
        <v>5</v>
      </c>
      <c r="J134" s="17" t="s">
        <v>301</v>
      </c>
      <c r="K134" s="17">
        <v>0</v>
      </c>
      <c r="L134" t="str">
        <f t="shared" si="2"/>
        <v>('066', 'BEL', 5, NULL, 0),</v>
      </c>
      <c r="M134" t="s">
        <v>365</v>
      </c>
    </row>
    <row r="135" spans="7:13">
      <c r="G135" s="16" t="s">
        <v>219</v>
      </c>
      <c r="H135" s="16" t="s">
        <v>402</v>
      </c>
      <c r="I135" s="17">
        <v>0</v>
      </c>
      <c r="J135" s="17" t="s">
        <v>301</v>
      </c>
      <c r="K135" s="17">
        <v>-2</v>
      </c>
      <c r="L135" t="str">
        <f t="shared" si="2"/>
        <v>('067', 'PAN', 0, NULL, -2),</v>
      </c>
      <c r="M135" t="s">
        <v>403</v>
      </c>
    </row>
    <row r="136" spans="7:13">
      <c r="G136" s="16" t="s">
        <v>219</v>
      </c>
      <c r="H136" s="16" t="s">
        <v>396</v>
      </c>
      <c r="I136" s="17">
        <v>2</v>
      </c>
      <c r="J136" s="17" t="s">
        <v>301</v>
      </c>
      <c r="K136" s="17">
        <v>-1</v>
      </c>
      <c r="L136" t="str">
        <f t="shared" si="2"/>
        <v>('067', 'ENG', 2, NULL, -1),</v>
      </c>
      <c r="M136" t="s">
        <v>397</v>
      </c>
    </row>
    <row r="137" spans="7:13">
      <c r="G137" s="16" t="s">
        <v>221</v>
      </c>
      <c r="H137" s="16" t="s">
        <v>398</v>
      </c>
      <c r="I137" s="17">
        <v>2</v>
      </c>
      <c r="J137" s="17" t="s">
        <v>301</v>
      </c>
      <c r="K137" s="17">
        <v>-1</v>
      </c>
      <c r="L137" t="str">
        <f t="shared" si="2"/>
        <v>('068', 'CRO', 2, NULL, -1),</v>
      </c>
      <c r="M137" t="s">
        <v>399</v>
      </c>
    </row>
    <row r="138" spans="7:13">
      <c r="G138" s="16" t="s">
        <v>221</v>
      </c>
      <c r="H138" s="16" t="s">
        <v>400</v>
      </c>
      <c r="I138" s="17">
        <v>1</v>
      </c>
      <c r="J138" s="17" t="s">
        <v>301</v>
      </c>
      <c r="K138" s="17">
        <v>-1</v>
      </c>
      <c r="L138" t="str">
        <f t="shared" si="2"/>
        <v>('068', 'GHA', 1, NULL, -1),</v>
      </c>
      <c r="M138" t="s">
        <v>401</v>
      </c>
    </row>
    <row r="139" spans="7:13">
      <c r="G139" s="16" t="s">
        <v>222</v>
      </c>
      <c r="H139" s="16" t="s">
        <v>406</v>
      </c>
      <c r="I139" s="17">
        <v>0</v>
      </c>
      <c r="J139" s="17" t="s">
        <v>301</v>
      </c>
      <c r="K139" s="17">
        <v>-1</v>
      </c>
      <c r="L139" t="str">
        <f t="shared" si="2"/>
        <v>('069', 'COL', 0, NULL, -1),</v>
      </c>
      <c r="M139" t="s">
        <v>407</v>
      </c>
    </row>
    <row r="140" spans="7:13">
      <c r="G140" s="16" t="s">
        <v>222</v>
      </c>
      <c r="H140" s="16" t="s">
        <v>392</v>
      </c>
      <c r="I140" s="17">
        <v>0</v>
      </c>
      <c r="J140" s="17" t="s">
        <v>301</v>
      </c>
      <c r="K140" s="17">
        <v>0</v>
      </c>
      <c r="L140" t="str">
        <f t="shared" si="2"/>
        <v>('069', 'POR', 0, NULL, 0),</v>
      </c>
      <c r="M140" t="s">
        <v>393</v>
      </c>
    </row>
    <row r="141" spans="7:13">
      <c r="G141" s="16" t="s">
        <v>224</v>
      </c>
      <c r="H141" s="16" t="s">
        <v>394</v>
      </c>
      <c r="I141" s="17">
        <v>3</v>
      </c>
      <c r="J141" s="17" t="s">
        <v>301</v>
      </c>
      <c r="K141" s="17">
        <v>-3</v>
      </c>
      <c r="L141" t="str">
        <f t="shared" si="2"/>
        <v>('070', 'COD', 3, NULL, -3),</v>
      </c>
      <c r="M141" t="s">
        <v>395</v>
      </c>
    </row>
    <row r="142" spans="7:13">
      <c r="G142" s="16" t="s">
        <v>224</v>
      </c>
      <c r="H142" s="16" t="s">
        <v>404</v>
      </c>
      <c r="I142" s="17">
        <v>1</v>
      </c>
      <c r="J142" s="17" t="s">
        <v>301</v>
      </c>
      <c r="K142" s="17">
        <v>-2</v>
      </c>
      <c r="L142" t="str">
        <f t="shared" si="2"/>
        <v>('070', 'UZB', 1, NULL, -2),</v>
      </c>
      <c r="M142" t="s">
        <v>405</v>
      </c>
    </row>
    <row r="143" spans="7:13">
      <c r="G143" s="16" t="s">
        <v>225</v>
      </c>
      <c r="H143" s="16" t="s">
        <v>386</v>
      </c>
      <c r="I143" s="17">
        <v>3</v>
      </c>
      <c r="J143" s="17" t="s">
        <v>301</v>
      </c>
      <c r="K143" s="17">
        <v>0</v>
      </c>
      <c r="L143" t="str">
        <f t="shared" si="2"/>
        <v>('071', 'ALG', 3, NULL, 0),</v>
      </c>
      <c r="M143" t="s">
        <v>387</v>
      </c>
    </row>
    <row r="144" spans="7:13">
      <c r="G144" s="16" t="s">
        <v>225</v>
      </c>
      <c r="H144" s="16" t="s">
        <v>388</v>
      </c>
      <c r="I144" s="17">
        <v>3</v>
      </c>
      <c r="J144" s="17" t="s">
        <v>301</v>
      </c>
      <c r="K144" s="17">
        <v>-1</v>
      </c>
      <c r="L144" t="str">
        <f t="shared" si="2"/>
        <v>('071', 'AUT', 3, NULL, -1),</v>
      </c>
      <c r="M144" t="s">
        <v>389</v>
      </c>
    </row>
    <row r="145" spans="7:13">
      <c r="G145" s="16" t="s">
        <v>227</v>
      </c>
      <c r="H145" s="16" t="s">
        <v>390</v>
      </c>
      <c r="I145" s="17">
        <v>1</v>
      </c>
      <c r="J145" s="17" t="s">
        <v>301</v>
      </c>
      <c r="K145" s="17">
        <v>-3</v>
      </c>
      <c r="L145" t="str">
        <f t="shared" si="2"/>
        <v>('072', 'JOR', 1, NULL, -3),</v>
      </c>
      <c r="M145" t="s">
        <v>391</v>
      </c>
    </row>
    <row r="146" spans="7:13">
      <c r="G146" s="16" t="s">
        <v>227</v>
      </c>
      <c r="H146" s="16" t="s">
        <v>384</v>
      </c>
      <c r="I146" s="17">
        <v>3</v>
      </c>
      <c r="J146" s="17" t="s">
        <v>301</v>
      </c>
      <c r="K146" s="17">
        <v>0</v>
      </c>
      <c r="L146" t="str">
        <f t="shared" si="2"/>
        <v>('072', 'ARG', 3, NULL, 0),</v>
      </c>
      <c r="M146" t="s">
        <v>385</v>
      </c>
    </row>
    <row r="147" spans="7:13">
      <c r="G147" s="16" t="s">
        <v>228</v>
      </c>
      <c r="H147" s="16" t="s">
        <v>304</v>
      </c>
      <c r="I147" s="17">
        <v>0</v>
      </c>
      <c r="J147" s="17" t="s">
        <v>301</v>
      </c>
      <c r="K147" s="17">
        <v>0</v>
      </c>
      <c r="L147" t="str">
        <f t="shared" si="2"/>
        <v>('073', 'RSA', 0, NULL, 0),</v>
      </c>
      <c r="M147" t="s">
        <v>305</v>
      </c>
    </row>
    <row r="148" spans="7:13">
      <c r="G148" s="16" t="s">
        <v>228</v>
      </c>
      <c r="H148" s="16" t="s">
        <v>313</v>
      </c>
      <c r="I148" s="17">
        <v>1</v>
      </c>
      <c r="J148" s="17" t="s">
        <v>301</v>
      </c>
      <c r="K148" s="17">
        <v>-2</v>
      </c>
      <c r="L148" t="str">
        <f t="shared" si="2"/>
        <v>('073', 'CAN', 1, NULL, -2),</v>
      </c>
      <c r="M148" t="s">
        <v>314</v>
      </c>
    </row>
    <row r="149" spans="7:13">
      <c r="G149" s="16" t="s">
        <v>231</v>
      </c>
      <c r="H149" s="16" t="s">
        <v>332</v>
      </c>
      <c r="I149" s="17">
        <v>2</v>
      </c>
      <c r="J149" s="17" t="s">
        <v>301</v>
      </c>
      <c r="K149" s="17">
        <v>-2</v>
      </c>
      <c r="L149" t="str">
        <f t="shared" si="2"/>
        <v>('074', 'BRA', 2, NULL, -2),</v>
      </c>
      <c r="M149" t="s">
        <v>333</v>
      </c>
    </row>
    <row r="150" spans="7:13">
      <c r="G150" s="16" t="s">
        <v>231</v>
      </c>
      <c r="H150" s="16" t="s">
        <v>350</v>
      </c>
      <c r="I150" s="17">
        <v>1</v>
      </c>
      <c r="J150" s="17" t="s">
        <v>301</v>
      </c>
      <c r="K150" s="17">
        <v>-3</v>
      </c>
      <c r="L150" t="str">
        <f t="shared" si="2"/>
        <v>('074', 'JPN', 1, NULL, -3),</v>
      </c>
      <c r="M150" t="s">
        <v>351</v>
      </c>
    </row>
    <row r="151" spans="7:13">
      <c r="G151" s="16" t="s">
        <v>233</v>
      </c>
      <c r="H151" s="16" t="s">
        <v>344</v>
      </c>
      <c r="I151" s="17">
        <v>1</v>
      </c>
      <c r="J151" s="17">
        <v>3</v>
      </c>
      <c r="K151" s="17">
        <v>-4</v>
      </c>
      <c r="L151" t="str">
        <f t="shared" si="2"/>
        <v>('075', 'GER', 1, 3, -4),</v>
      </c>
      <c r="M151" t="s">
        <v>345</v>
      </c>
    </row>
    <row r="152" spans="7:13">
      <c r="G152" s="16" t="s">
        <v>233</v>
      </c>
      <c r="H152" s="16" t="s">
        <v>324</v>
      </c>
      <c r="I152" s="17">
        <v>1</v>
      </c>
      <c r="J152" s="17">
        <v>4</v>
      </c>
      <c r="K152" s="17">
        <v>-4</v>
      </c>
      <c r="L152" t="str">
        <f t="shared" si="2"/>
        <v>('075', 'PAR', 1, 4, -4),</v>
      </c>
      <c r="M152" t="s">
        <v>325</v>
      </c>
    </row>
    <row r="153" spans="7:13">
      <c r="G153" s="16" t="s">
        <v>235</v>
      </c>
      <c r="H153" s="16" t="s">
        <v>348</v>
      </c>
      <c r="I153" s="17">
        <v>1</v>
      </c>
      <c r="J153" s="17">
        <v>2</v>
      </c>
      <c r="K153" s="17">
        <v>0</v>
      </c>
      <c r="L153" t="str">
        <f t="shared" si="2"/>
        <v>('076', 'NED', 1, 2, 0),</v>
      </c>
      <c r="M153" t="s">
        <v>349</v>
      </c>
    </row>
    <row r="154" spans="7:13">
      <c r="G154" s="16" t="s">
        <v>235</v>
      </c>
      <c r="H154" s="16" t="s">
        <v>334</v>
      </c>
      <c r="I154" s="17">
        <v>1</v>
      </c>
      <c r="J154" s="17">
        <v>3</v>
      </c>
      <c r="K154" s="17">
        <v>-1</v>
      </c>
      <c r="L154" t="str">
        <f t="shared" si="2"/>
        <v>('076', 'MAR', 1, 3, -1),</v>
      </c>
      <c r="M154" t="s">
        <v>335</v>
      </c>
    </row>
    <row r="155" spans="7:13">
      <c r="G155" s="16" t="s">
        <v>237</v>
      </c>
      <c r="H155" s="16" t="s">
        <v>352</v>
      </c>
      <c r="I155" s="17">
        <v>1</v>
      </c>
      <c r="J155" s="17" t="s">
        <v>301</v>
      </c>
      <c r="K155" s="17">
        <v>0</v>
      </c>
      <c r="L155" t="str">
        <f t="shared" si="2"/>
        <v>('077', 'CIV', 1, NULL, 0),</v>
      </c>
      <c r="M155" t="s">
        <v>353</v>
      </c>
    </row>
    <row r="156" spans="7:13">
      <c r="G156" s="16" t="s">
        <v>237</v>
      </c>
      <c r="H156" s="16" t="s">
        <v>382</v>
      </c>
      <c r="I156" s="17">
        <v>2</v>
      </c>
      <c r="J156" s="17" t="s">
        <v>301</v>
      </c>
      <c r="K156" s="17">
        <v>-1</v>
      </c>
      <c r="L156" t="str">
        <f t="shared" si="2"/>
        <v>('077', 'NOR', 2, NULL, -1),</v>
      </c>
      <c r="M156" t="s">
        <v>383</v>
      </c>
    </row>
    <row r="157" spans="7:13">
      <c r="G157" s="16" t="s">
        <v>239</v>
      </c>
      <c r="H157" s="16" t="s">
        <v>376</v>
      </c>
      <c r="I157" s="17">
        <v>3</v>
      </c>
      <c r="J157" s="17" t="s">
        <v>301</v>
      </c>
      <c r="K157" s="17">
        <v>0</v>
      </c>
      <c r="L157" t="str">
        <f t="shared" si="2"/>
        <v>('078', 'FRA', 3, NULL, 0),</v>
      </c>
      <c r="M157" t="s">
        <v>377</v>
      </c>
    </row>
    <row r="158" spans="7:13">
      <c r="G158" s="16" t="s">
        <v>239</v>
      </c>
      <c r="H158" s="16" t="s">
        <v>356</v>
      </c>
      <c r="I158" s="17">
        <v>0</v>
      </c>
      <c r="J158" s="17" t="s">
        <v>301</v>
      </c>
      <c r="K158" s="17">
        <v>0</v>
      </c>
      <c r="L158" t="str">
        <f t="shared" si="2"/>
        <v>('078', 'SWE', 0, NULL, 0),</v>
      </c>
      <c r="M158" t="s">
        <v>357</v>
      </c>
    </row>
    <row r="159" spans="7:13">
      <c r="G159" s="16" t="s">
        <v>241</v>
      </c>
      <c r="H159" s="16" t="s">
        <v>300</v>
      </c>
      <c r="I159" s="17">
        <v>2</v>
      </c>
      <c r="J159" s="17" t="s">
        <v>301</v>
      </c>
      <c r="K159" s="17">
        <v>0</v>
      </c>
      <c r="L159" t="str">
        <f t="shared" si="2"/>
        <v>('079', 'MEX', 2, NULL, 0),</v>
      </c>
      <c r="M159" t="s">
        <v>302</v>
      </c>
    </row>
    <row r="160" spans="7:13">
      <c r="G160" s="16" t="s">
        <v>241</v>
      </c>
      <c r="H160" s="16" t="s">
        <v>354</v>
      </c>
      <c r="I160" s="17">
        <v>0</v>
      </c>
      <c r="J160" s="17" t="s">
        <v>301</v>
      </c>
      <c r="K160" s="17">
        <v>-7</v>
      </c>
      <c r="L160" t="str">
        <f t="shared" si="2"/>
        <v>('079', 'ECU', 0, NULL, -7),</v>
      </c>
      <c r="M160" t="s">
        <v>355</v>
      </c>
    </row>
    <row r="161" spans="7:13">
      <c r="G161" s="16" t="s">
        <v>243</v>
      </c>
      <c r="H161" s="16" t="s">
        <v>396</v>
      </c>
      <c r="I161" s="17">
        <v>2</v>
      </c>
      <c r="J161" s="17" t="s">
        <v>301</v>
      </c>
      <c r="K161" s="17">
        <v>-1</v>
      </c>
      <c r="L161" t="str">
        <f t="shared" si="2"/>
        <v>('080', 'ENG', 2, NULL, -1),</v>
      </c>
      <c r="M161" t="s">
        <v>397</v>
      </c>
    </row>
    <row r="162" spans="7:13">
      <c r="G162" s="16" t="s">
        <v>243</v>
      </c>
      <c r="H162" s="16" t="s">
        <v>394</v>
      </c>
      <c r="I162" s="17">
        <v>1</v>
      </c>
      <c r="J162" s="17" t="s">
        <v>301</v>
      </c>
      <c r="K162" s="17">
        <v>-1</v>
      </c>
      <c r="L162" t="str">
        <f t="shared" si="2"/>
        <v>('080', 'COD', 1, NULL, -1),</v>
      </c>
      <c r="M162" t="s">
        <v>395</v>
      </c>
    </row>
    <row r="163" spans="7:13">
      <c r="G163" s="16" t="s">
        <v>245</v>
      </c>
      <c r="H163" s="16" t="s">
        <v>364</v>
      </c>
      <c r="I163" s="17">
        <v>3</v>
      </c>
      <c r="J163" s="17" t="s">
        <v>301</v>
      </c>
      <c r="K163" s="17">
        <v>-2</v>
      </c>
      <c r="L163" t="str">
        <f t="shared" si="2"/>
        <v>('081', 'BEL', 3, NULL, -2),</v>
      </c>
      <c r="M163" t="s">
        <v>365</v>
      </c>
    </row>
    <row r="164" spans="7:13">
      <c r="G164" s="16" t="s">
        <v>245</v>
      </c>
      <c r="H164" s="16" t="s">
        <v>378</v>
      </c>
      <c r="I164" s="17">
        <v>2</v>
      </c>
      <c r="J164" s="17" t="s">
        <v>301</v>
      </c>
      <c r="K164" s="17">
        <v>-1</v>
      </c>
      <c r="L164" t="str">
        <f t="shared" si="2"/>
        <v>('081', 'SEN', 2, NULL, -1),</v>
      </c>
      <c r="M164" t="s">
        <v>379</v>
      </c>
    </row>
    <row r="165" spans="7:13">
      <c r="G165" s="16" t="s">
        <v>247</v>
      </c>
      <c r="H165" s="16" t="s">
        <v>320</v>
      </c>
      <c r="I165" s="17">
        <v>2</v>
      </c>
      <c r="J165" s="17" t="s">
        <v>301</v>
      </c>
      <c r="K165" s="17">
        <v>-4</v>
      </c>
      <c r="L165" t="str">
        <f t="shared" si="2"/>
        <v>('082', 'USA', 2, NULL, -4),</v>
      </c>
      <c r="M165" t="s">
        <v>321</v>
      </c>
    </row>
    <row r="166" spans="7:13">
      <c r="G166" s="16" t="s">
        <v>247</v>
      </c>
      <c r="H166" s="16" t="s">
        <v>316</v>
      </c>
      <c r="I166" s="17">
        <v>0</v>
      </c>
      <c r="J166" s="17" t="s">
        <v>301</v>
      </c>
      <c r="K166" s="17">
        <v>-2</v>
      </c>
      <c r="L166" t="str">
        <f t="shared" si="2"/>
        <v>('082', 'BIH', 0, NULL, -2),</v>
      </c>
      <c r="M166" t="s">
        <v>317</v>
      </c>
    </row>
    <row r="167" spans="7:13">
      <c r="G167" s="16" t="s">
        <v>249</v>
      </c>
      <c r="H167" s="16" t="s">
        <v>360</v>
      </c>
      <c r="I167" s="17">
        <v>3</v>
      </c>
      <c r="J167" s="17" t="s">
        <v>301</v>
      </c>
      <c r="K167" s="17">
        <v>0</v>
      </c>
      <c r="L167" t="str">
        <f t="shared" si="2"/>
        <v>('083', 'ESP', 3, NULL, 0),</v>
      </c>
      <c r="M167" t="s">
        <v>361</v>
      </c>
    </row>
    <row r="168" spans="7:13">
      <c r="G168" s="16" t="s">
        <v>249</v>
      </c>
      <c r="H168" s="16" t="s">
        <v>388</v>
      </c>
      <c r="I168" s="17">
        <v>0</v>
      </c>
      <c r="J168" s="17" t="s">
        <v>301</v>
      </c>
      <c r="K168" s="17">
        <v>-1</v>
      </c>
      <c r="L168" t="str">
        <f t="shared" si="2"/>
        <v>('083', 'AUT', 0, NULL, -1),</v>
      </c>
      <c r="M168" t="s">
        <v>389</v>
      </c>
    </row>
    <row r="169" spans="7:13">
      <c r="G169" s="16" t="s">
        <v>251</v>
      </c>
      <c r="H169" s="16" t="s">
        <v>392</v>
      </c>
      <c r="I169" s="17">
        <v>2</v>
      </c>
      <c r="J169" s="17" t="s">
        <v>301</v>
      </c>
      <c r="K169" s="17">
        <v>-1</v>
      </c>
      <c r="L169" t="str">
        <f t="shared" si="2"/>
        <v>('084', 'POR', 2, NULL, -1),</v>
      </c>
      <c r="M169" t="s">
        <v>393</v>
      </c>
    </row>
    <row r="170" spans="7:13">
      <c r="G170" s="16" t="s">
        <v>251</v>
      </c>
      <c r="H170" s="16" t="s">
        <v>398</v>
      </c>
      <c r="I170" s="17">
        <v>1</v>
      </c>
      <c r="J170" s="17" t="s">
        <v>301</v>
      </c>
      <c r="K170" s="17">
        <v>-2</v>
      </c>
      <c r="L170" t="str">
        <f t="shared" si="2"/>
        <v>('084', 'CRO', 1, NULL, -2),</v>
      </c>
      <c r="M170" t="s">
        <v>399</v>
      </c>
    </row>
    <row r="171" spans="7:13">
      <c r="G171" s="16" t="s">
        <v>253</v>
      </c>
      <c r="H171" s="16" t="s">
        <v>330</v>
      </c>
      <c r="I171" s="17">
        <v>2</v>
      </c>
      <c r="J171" s="17" t="s">
        <v>301</v>
      </c>
      <c r="K171" s="17">
        <v>0</v>
      </c>
      <c r="L171" t="str">
        <f t="shared" si="2"/>
        <v>('085', 'SUI', 2, NULL, 0),</v>
      </c>
      <c r="M171" t="s">
        <v>331</v>
      </c>
    </row>
    <row r="172" spans="7:13">
      <c r="G172" s="16" t="s">
        <v>253</v>
      </c>
      <c r="H172" s="16" t="s">
        <v>386</v>
      </c>
      <c r="I172" s="17">
        <v>0</v>
      </c>
      <c r="J172" s="17" t="s">
        <v>301</v>
      </c>
      <c r="K172" s="17">
        <v>-2</v>
      </c>
      <c r="L172" t="str">
        <f t="shared" si="2"/>
        <v>('085', 'ALG', 0, NULL, -2),</v>
      </c>
      <c r="M172" t="s">
        <v>387</v>
      </c>
    </row>
    <row r="173" spans="7:13">
      <c r="G173" s="16" t="s">
        <v>255</v>
      </c>
      <c r="H173" s="16" t="s">
        <v>340</v>
      </c>
      <c r="I173" s="17">
        <v>1</v>
      </c>
      <c r="J173" s="17">
        <v>2</v>
      </c>
      <c r="K173" s="17">
        <v>0</v>
      </c>
      <c r="L173" t="str">
        <f t="shared" si="2"/>
        <v>('086', 'AUS', 1, 2, 0),</v>
      </c>
      <c r="M173" t="s">
        <v>341</v>
      </c>
    </row>
    <row r="174" spans="7:13">
      <c r="G174" s="16" t="s">
        <v>255</v>
      </c>
      <c r="H174" s="16" t="s">
        <v>366</v>
      </c>
      <c r="I174" s="17">
        <v>1</v>
      </c>
      <c r="J174" s="17">
        <v>4</v>
      </c>
      <c r="K174" s="17">
        <v>-3</v>
      </c>
      <c r="L174" t="str">
        <f t="shared" si="2"/>
        <v>('086', 'EGY', 1, 4, -3),</v>
      </c>
      <c r="M174" t="s">
        <v>367</v>
      </c>
    </row>
    <row r="175" spans="7:13">
      <c r="G175" s="16" t="s">
        <v>257</v>
      </c>
      <c r="H175" s="16" t="s">
        <v>384</v>
      </c>
      <c r="I175" s="17">
        <v>3</v>
      </c>
      <c r="J175" s="17" t="s">
        <v>301</v>
      </c>
      <c r="K175" s="17">
        <v>-1</v>
      </c>
      <c r="L175" t="str">
        <f t="shared" si="2"/>
        <v>('087', 'ARG', 3, NULL, -1),</v>
      </c>
      <c r="M175" t="s">
        <v>385</v>
      </c>
    </row>
    <row r="176" spans="7:13">
      <c r="G176" s="16" t="s">
        <v>257</v>
      </c>
      <c r="H176" s="16" t="s">
        <v>362</v>
      </c>
      <c r="I176" s="17">
        <v>2</v>
      </c>
      <c r="J176" s="17" t="s">
        <v>301</v>
      </c>
      <c r="K176" s="17">
        <v>-1</v>
      </c>
      <c r="L176" t="str">
        <f t="shared" si="2"/>
        <v>('087', 'CPV', 2, NULL, -1),</v>
      </c>
      <c r="M176" t="s">
        <v>363</v>
      </c>
    </row>
    <row r="177" spans="7:13">
      <c r="G177" s="16" t="s">
        <v>259</v>
      </c>
      <c r="H177" s="16" t="s">
        <v>406</v>
      </c>
      <c r="I177" s="17">
        <v>1</v>
      </c>
      <c r="J177" s="17" t="s">
        <v>301</v>
      </c>
      <c r="K177" s="17">
        <v>-2</v>
      </c>
      <c r="L177" t="str">
        <f t="shared" si="2"/>
        <v>('088', 'COL', 1, NULL, -2),</v>
      </c>
      <c r="M177" t="s">
        <v>407</v>
      </c>
    </row>
    <row r="178" spans="7:13">
      <c r="G178" s="16" t="s">
        <v>259</v>
      </c>
      <c r="H178" s="16" t="s">
        <v>400</v>
      </c>
      <c r="I178" s="17">
        <v>0</v>
      </c>
      <c r="J178" s="17" t="s">
        <v>301</v>
      </c>
      <c r="K178" s="17">
        <v>-3</v>
      </c>
      <c r="L178" t="str">
        <f t="shared" si="2"/>
        <v>('088', 'GHA', 0, NULL, -3),</v>
      </c>
      <c r="M178" t="s">
        <v>401</v>
      </c>
    </row>
    <row r="179" spans="7:13">
      <c r="G179" s="16" t="s">
        <v>261</v>
      </c>
      <c r="H179" s="16" t="s">
        <v>313</v>
      </c>
      <c r="I179" s="17">
        <v>0</v>
      </c>
      <c r="J179" s="17" t="s">
        <v>301</v>
      </c>
      <c r="K179" s="17">
        <v>-4</v>
      </c>
      <c r="L179" t="str">
        <f t="shared" si="2"/>
        <v>('089', 'CAN', 0, NULL, -4),</v>
      </c>
      <c r="M179" t="s">
        <v>314</v>
      </c>
    </row>
    <row r="180" spans="7:13">
      <c r="G180" s="16" t="s">
        <v>261</v>
      </c>
      <c r="H180" s="16" t="s">
        <v>334</v>
      </c>
      <c r="I180" s="17">
        <v>3</v>
      </c>
      <c r="J180" s="17" t="s">
        <v>301</v>
      </c>
      <c r="K180" s="17">
        <v>-4</v>
      </c>
      <c r="L180" t="str">
        <f t="shared" si="2"/>
        <v>('089', 'MAR', 3, NULL, -4),</v>
      </c>
      <c r="M180" t="s">
        <v>335</v>
      </c>
    </row>
    <row r="181" spans="7:13">
      <c r="G181" s="16" t="s">
        <v>263</v>
      </c>
      <c r="H181" s="16" t="s">
        <v>324</v>
      </c>
      <c r="I181" s="17">
        <v>0</v>
      </c>
      <c r="J181" s="17" t="s">
        <v>301</v>
      </c>
      <c r="K181" s="17">
        <v>-1</v>
      </c>
      <c r="L181" t="str">
        <f t="shared" si="2"/>
        <v>('090', 'PAR', 0, NULL, -1),</v>
      </c>
      <c r="M181" t="s">
        <v>325</v>
      </c>
    </row>
    <row r="182" spans="7:13">
      <c r="G182" s="16" t="s">
        <v>263</v>
      </c>
      <c r="H182" s="16" t="s">
        <v>376</v>
      </c>
      <c r="I182" s="17">
        <v>1</v>
      </c>
      <c r="J182" s="17" t="s">
        <v>301</v>
      </c>
      <c r="K182" s="17">
        <v>-3</v>
      </c>
      <c r="L182" t="str">
        <f t="shared" si="2"/>
        <v>('090', 'FRA', 1, NULL, -3),</v>
      </c>
      <c r="M182" t="s">
        <v>377</v>
      </c>
    </row>
    <row r="183" spans="7:13">
      <c r="G183" s="16" t="s">
        <v>265</v>
      </c>
      <c r="H183" s="16" t="s">
        <v>332</v>
      </c>
      <c r="I183" s="17">
        <v>1</v>
      </c>
      <c r="J183" s="17" t="s">
        <v>301</v>
      </c>
      <c r="K183" s="17">
        <v>-1</v>
      </c>
      <c r="L183" t="str">
        <f t="shared" si="2"/>
        <v>('091', 'BRA', 1, NULL, -1),</v>
      </c>
      <c r="M183" t="s">
        <v>333</v>
      </c>
    </row>
    <row r="184" spans="7:13">
      <c r="G184" s="16" t="s">
        <v>265</v>
      </c>
      <c r="H184" s="16" t="s">
        <v>382</v>
      </c>
      <c r="I184" s="17">
        <v>2</v>
      </c>
      <c r="J184" s="17" t="s">
        <v>301</v>
      </c>
      <c r="K184" s="17">
        <v>0</v>
      </c>
      <c r="L184" t="str">
        <f t="shared" si="2"/>
        <v>('091', 'NOR', 2, NULL, 0),</v>
      </c>
      <c r="M184" t="s">
        <v>383</v>
      </c>
    </row>
    <row r="185" spans="7:13">
      <c r="G185" s="16" t="s">
        <v>267</v>
      </c>
      <c r="H185" s="16" t="s">
        <v>300</v>
      </c>
      <c r="I185" s="17">
        <v>2</v>
      </c>
      <c r="J185" s="17" t="s">
        <v>301</v>
      </c>
      <c r="K185" s="17">
        <v>-2</v>
      </c>
      <c r="L185" t="str">
        <f t="shared" si="2"/>
        <v>('092', 'MEX', 2, NULL, -2),</v>
      </c>
      <c r="M185" t="s">
        <v>302</v>
      </c>
    </row>
    <row r="186" spans="7:13">
      <c r="G186" s="16" t="s">
        <v>267</v>
      </c>
      <c r="H186" s="16" t="s">
        <v>396</v>
      </c>
      <c r="I186" s="17">
        <v>3</v>
      </c>
      <c r="J186" s="17" t="s">
        <v>301</v>
      </c>
      <c r="K186" s="17">
        <v>-8</v>
      </c>
      <c r="L186" t="str">
        <f t="shared" si="2"/>
        <v>('092', 'ENG', 3, NULL, -8),</v>
      </c>
      <c r="M186" t="s">
        <v>397</v>
      </c>
    </row>
    <row r="187" spans="7:13">
      <c r="G187" s="16" t="s">
        <v>269</v>
      </c>
      <c r="H187" s="16" t="s">
        <v>392</v>
      </c>
      <c r="I187" s="17">
        <v>0</v>
      </c>
      <c r="J187" s="17" t="s">
        <v>301</v>
      </c>
      <c r="K187" s="17">
        <v>-2</v>
      </c>
      <c r="L187" t="str">
        <f t="shared" si="2"/>
        <v>('093', 'POR', 0, NULL, -2),</v>
      </c>
      <c r="M187" t="s">
        <v>393</v>
      </c>
    </row>
    <row r="188" spans="7:13">
      <c r="G188" s="16" t="s">
        <v>269</v>
      </c>
      <c r="H188" s="16" t="s">
        <v>360</v>
      </c>
      <c r="I188" s="17">
        <v>1</v>
      </c>
      <c r="J188" s="17" t="s">
        <v>301</v>
      </c>
      <c r="K188" s="17">
        <v>-1</v>
      </c>
      <c r="L188" t="str">
        <f t="shared" si="2"/>
        <v>('093', 'ESP', 1, NULL, -1),</v>
      </c>
      <c r="M188" t="s">
        <v>361</v>
      </c>
    </row>
    <row r="189" spans="7:13">
      <c r="G189" s="16" t="s">
        <v>271</v>
      </c>
      <c r="H189" s="16" t="s">
        <v>320</v>
      </c>
      <c r="I189" s="17">
        <v>1</v>
      </c>
      <c r="J189" s="17" t="s">
        <v>301</v>
      </c>
      <c r="K189" s="17">
        <v>-2</v>
      </c>
      <c r="L189" t="str">
        <f t="shared" si="2"/>
        <v>('094', 'USA', 1, NULL, -2),</v>
      </c>
      <c r="M189" t="s">
        <v>321</v>
      </c>
    </row>
    <row r="190" spans="7:13">
      <c r="G190" s="16" t="s">
        <v>271</v>
      </c>
      <c r="H190" s="16" t="s">
        <v>364</v>
      </c>
      <c r="I190" s="17">
        <v>4</v>
      </c>
      <c r="J190" s="17" t="s">
        <v>301</v>
      </c>
      <c r="K190" s="17">
        <v>0</v>
      </c>
      <c r="L190" t="str">
        <f t="shared" si="2"/>
        <v>('094', 'BEL', 4, NULL, 0),</v>
      </c>
      <c r="M190" t="s">
        <v>365</v>
      </c>
    </row>
    <row r="191" spans="7:13">
      <c r="G191" s="16" t="s">
        <v>273</v>
      </c>
      <c r="H191" s="16" t="s">
        <v>384</v>
      </c>
      <c r="I191" s="17">
        <v>3</v>
      </c>
      <c r="J191" s="17" t="s">
        <v>301</v>
      </c>
      <c r="K191" s="17">
        <v>0</v>
      </c>
      <c r="L191" t="str">
        <f t="shared" si="2"/>
        <v>('095', 'ARG', 3, NULL, 0),</v>
      </c>
      <c r="M191" t="s">
        <v>385</v>
      </c>
    </row>
    <row r="192" spans="7:13">
      <c r="G192" s="16" t="s">
        <v>273</v>
      </c>
      <c r="H192" s="16" t="s">
        <v>366</v>
      </c>
      <c r="I192" s="17">
        <v>2</v>
      </c>
      <c r="J192" s="17" t="s">
        <v>301</v>
      </c>
      <c r="K192" s="17">
        <v>-9</v>
      </c>
      <c r="L192" t="str">
        <f t="shared" si="2"/>
        <v>('095', 'EGY', 2, NULL, -9),</v>
      </c>
      <c r="M192" t="s">
        <v>367</v>
      </c>
    </row>
    <row r="193" spans="7:13">
      <c r="G193" s="16" t="s">
        <v>275</v>
      </c>
      <c r="H193" s="16" t="s">
        <v>330</v>
      </c>
      <c r="I193" s="17">
        <v>0</v>
      </c>
      <c r="J193" s="17">
        <v>4</v>
      </c>
      <c r="K193" s="17">
        <v>-3</v>
      </c>
      <c r="L193" t="str">
        <f t="shared" si="2"/>
        <v>('096', 'SUI', 0, 4, -3),</v>
      </c>
      <c r="M193" t="s">
        <v>331</v>
      </c>
    </row>
    <row r="194" spans="7:13">
      <c r="G194" s="16" t="s">
        <v>275</v>
      </c>
      <c r="H194" s="16" t="s">
        <v>406</v>
      </c>
      <c r="I194" s="17">
        <v>0</v>
      </c>
      <c r="J194" s="17">
        <v>3</v>
      </c>
      <c r="K194" s="17">
        <v>-3</v>
      </c>
      <c r="L194" t="str">
        <f t="shared" si="2"/>
        <v>('096', 'COL', 0, 3, -3),</v>
      </c>
      <c r="M194" t="s">
        <v>407</v>
      </c>
    </row>
    <row r="195" spans="7:13">
      <c r="G195" s="16" t="s">
        <v>277</v>
      </c>
      <c r="H195" s="16" t="s">
        <v>376</v>
      </c>
      <c r="I195" s="17">
        <v>2</v>
      </c>
      <c r="J195" s="18" t="s">
        <v>301</v>
      </c>
      <c r="K195" s="17">
        <v>0</v>
      </c>
      <c r="L195" t="str">
        <f t="shared" ref="L195:L209" si="3">CHAR(9)&amp;"('"&amp;G195&amp;"', '"&amp;H195&amp;"', "&amp;I195&amp;", "&amp;J195&amp;", "&amp;K195&amp;"),"</f>
        <v>	('097', 'FRA', 2, NULL, 0),</v>
      </c>
      <c r="M195" s="19" t="s">
        <v>377</v>
      </c>
    </row>
    <row r="196" spans="7:13">
      <c r="G196" s="16" t="s">
        <v>277</v>
      </c>
      <c r="H196" s="16" t="s">
        <v>334</v>
      </c>
      <c r="I196" s="17">
        <v>0</v>
      </c>
      <c r="J196" s="18" t="s">
        <v>301</v>
      </c>
      <c r="K196" s="17">
        <v>-1</v>
      </c>
      <c r="L196" t="str">
        <f t="shared" si="3"/>
        <v>	('097', 'MAR', 0, NULL, -1),</v>
      </c>
      <c r="M196" s="19" t="s">
        <v>335</v>
      </c>
    </row>
    <row r="197" spans="7:13">
      <c r="G197" s="16" t="s">
        <v>279</v>
      </c>
      <c r="H197" s="16" t="s">
        <v>360</v>
      </c>
      <c r="I197" s="17">
        <v>2</v>
      </c>
      <c r="J197" s="18" t="s">
        <v>301</v>
      </c>
      <c r="K197" s="17">
        <v>-2</v>
      </c>
      <c r="L197" t="str">
        <f t="shared" si="3"/>
        <v>	('098', 'ESP', 2, NULL, -2),</v>
      </c>
      <c r="M197" t="s">
        <v>361</v>
      </c>
    </row>
    <row r="198" spans="7:13">
      <c r="G198" s="16" t="s">
        <v>279</v>
      </c>
      <c r="H198" s="16" t="s">
        <v>364</v>
      </c>
      <c r="I198" s="17">
        <v>1</v>
      </c>
      <c r="J198" s="18" t="s">
        <v>301</v>
      </c>
      <c r="K198" s="17">
        <v>-2</v>
      </c>
      <c r="L198" t="str">
        <f t="shared" si="3"/>
        <v>	('098', 'BEL', 1, NULL, -2),</v>
      </c>
      <c r="M198" t="s">
        <v>365</v>
      </c>
    </row>
    <row r="199" spans="7:13">
      <c r="G199" s="16" t="s">
        <v>281</v>
      </c>
      <c r="H199" s="16" t="s">
        <v>382</v>
      </c>
      <c r="I199" s="17">
        <v>1</v>
      </c>
      <c r="J199" s="18" t="s">
        <v>301</v>
      </c>
      <c r="K199" s="17">
        <v>-1</v>
      </c>
      <c r="L199" t="str">
        <f t="shared" si="3"/>
        <v>	('099', 'NOR', 1, NULL, -1),</v>
      </c>
      <c r="M199" t="s">
        <v>383</v>
      </c>
    </row>
    <row r="200" spans="7:13">
      <c r="G200" s="16" t="s">
        <v>281</v>
      </c>
      <c r="H200" s="16" t="s">
        <v>396</v>
      </c>
      <c r="I200" s="17">
        <v>2</v>
      </c>
      <c r="J200" s="18" t="s">
        <v>301</v>
      </c>
      <c r="K200" s="17">
        <v>0</v>
      </c>
      <c r="L200" t="str">
        <f t="shared" si="3"/>
        <v>	('099', 'ENG', 2, NULL, 0),</v>
      </c>
      <c r="M200" t="s">
        <v>397</v>
      </c>
    </row>
    <row r="201" spans="7:13">
      <c r="G201" s="16" t="s">
        <v>283</v>
      </c>
      <c r="H201" s="16" t="s">
        <v>384</v>
      </c>
      <c r="I201" s="17">
        <v>3</v>
      </c>
      <c r="J201" s="18" t="s">
        <v>301</v>
      </c>
      <c r="K201" s="17">
        <v>-3</v>
      </c>
      <c r="L201" t="str">
        <f t="shared" si="3"/>
        <v>	('100', 'ARG', 3, NULL, -3),</v>
      </c>
      <c r="M201" t="s">
        <v>385</v>
      </c>
    </row>
    <row r="202" spans="7:13">
      <c r="G202" s="16" t="s">
        <v>283</v>
      </c>
      <c r="H202" s="16" t="s">
        <v>330</v>
      </c>
      <c r="I202" s="17">
        <v>1</v>
      </c>
      <c r="J202" s="18" t="s">
        <v>301</v>
      </c>
      <c r="K202" s="17">
        <v>-3</v>
      </c>
      <c r="L202" t="str">
        <f t="shared" si="3"/>
        <v>	('100', 'SUI', 1, NULL, -3),</v>
      </c>
      <c r="M202" t="s">
        <v>331</v>
      </c>
    </row>
    <row r="203" spans="7:13">
      <c r="G203" s="16" t="s">
        <v>285</v>
      </c>
      <c r="H203" s="16" t="s">
        <v>376</v>
      </c>
      <c r="I203" s="17">
        <v>0</v>
      </c>
      <c r="J203" s="18" t="s">
        <v>301</v>
      </c>
      <c r="K203" s="17">
        <v>-2</v>
      </c>
      <c r="L203" t="str">
        <f t="shared" si="3"/>
        <v>	('101', 'FRA', 0, NULL, -2),</v>
      </c>
      <c r="M203" t="s">
        <v>377</v>
      </c>
    </row>
    <row r="204" spans="7:13">
      <c r="G204" s="16" t="s">
        <v>285</v>
      </c>
      <c r="H204" s="16" t="s">
        <v>360</v>
      </c>
      <c r="I204" s="17">
        <v>2</v>
      </c>
      <c r="J204" s="18" t="s">
        <v>301</v>
      </c>
      <c r="K204" s="17">
        <v>-1</v>
      </c>
      <c r="L204" t="str">
        <f t="shared" si="3"/>
        <v>	('101', 'ESP', 2, NULL, -1),</v>
      </c>
      <c r="M204" t="s">
        <v>361</v>
      </c>
    </row>
    <row r="205" spans="7:13">
      <c r="G205" s="16" t="s">
        <v>287</v>
      </c>
      <c r="H205" s="16" t="s">
        <v>396</v>
      </c>
      <c r="I205" s="17">
        <v>1</v>
      </c>
      <c r="J205" s="18" t="s">
        <v>301</v>
      </c>
      <c r="K205" s="17">
        <v>-1</v>
      </c>
      <c r="L205" t="str">
        <f t="shared" si="3"/>
        <v>	('102', 'ENG', 1, NULL, -1),</v>
      </c>
      <c r="M205" t="s">
        <v>397</v>
      </c>
    </row>
    <row r="206" spans="7:13">
      <c r="G206" s="16" t="s">
        <v>287</v>
      </c>
      <c r="H206" s="16" t="s">
        <v>384</v>
      </c>
      <c r="I206" s="17">
        <v>2</v>
      </c>
      <c r="J206" s="18" t="s">
        <v>301</v>
      </c>
      <c r="K206" s="17">
        <v>-3</v>
      </c>
      <c r="L206" t="str">
        <f t="shared" si="3"/>
        <v>	('102', 'ARG', 2, NULL, -3),</v>
      </c>
      <c r="M206" t="s">
        <v>385</v>
      </c>
    </row>
    <row r="207" spans="7:13">
      <c r="G207" s="16" t="s">
        <v>289</v>
      </c>
      <c r="H207" s="16" t="s">
        <v>376</v>
      </c>
      <c r="I207" s="17"/>
      <c r="J207" s="17"/>
      <c r="K207" s="17"/>
      <c r="L207" t="str">
        <f t="shared" si="3"/>
        <v>	('103', 'FRA', , , ),</v>
      </c>
      <c r="M207" t="s">
        <v>377</v>
      </c>
    </row>
    <row r="208" spans="7:12">
      <c r="G208" s="16" t="s">
        <v>289</v>
      </c>
      <c r="H208" s="16" t="s">
        <v>396</v>
      </c>
      <c r="I208" s="17"/>
      <c r="J208" s="17"/>
      <c r="K208" s="17"/>
      <c r="L208" t="str">
        <f t="shared" si="3"/>
        <v>	('103', 'ENG', , , ),</v>
      </c>
    </row>
    <row r="209" spans="7:13">
      <c r="G209" s="16" t="s">
        <v>291</v>
      </c>
      <c r="H209" s="16" t="s">
        <v>360</v>
      </c>
      <c r="I209" s="17"/>
      <c r="J209" s="17"/>
      <c r="K209" s="17"/>
      <c r="L209" t="str">
        <f t="shared" si="3"/>
        <v>	('104', 'ESP', , , ),</v>
      </c>
      <c r="M209" t="s">
        <v>361</v>
      </c>
    </row>
    <row r="210" spans="7:12">
      <c r="G210" s="16" t="s">
        <v>291</v>
      </c>
      <c r="H210" s="16" t="s">
        <v>384</v>
      </c>
      <c r="I210" s="17"/>
      <c r="J210" s="17"/>
      <c r="K210" s="17"/>
      <c r="L210" t="str">
        <f>CHAR(9)&amp;"('"&amp;G210&amp;"', '"&amp;H210&amp;"', "&amp;I210&amp;", "&amp;J210&amp;", "&amp;K210&amp;")"</f>
        <v>	('104', 'ARG', , , )</v>
      </c>
    </row>
    <row r="211" spans="12:12">
      <c r="L211" t="s">
        <v>293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5"/>
  <sheetViews>
    <sheetView workbookViewId="0">
      <selection activeCell="A1" sqref="A1"/>
    </sheetView>
  </sheetViews>
  <sheetFormatPr defaultColWidth="3.77777777777778" defaultRowHeight="18.75"/>
  <cols>
    <col min="1" max="1" width="3.77777777777778" customWidth="1"/>
    <col min="2" max="2" width="30.7777777777778" customWidth="1"/>
    <col min="3" max="4" width="5.77777777777778" customWidth="1"/>
    <col min="5" max="5" width="40.7777777777778" customWidth="1"/>
    <col min="6" max="6" width="3.77777777777778" customWidth="1"/>
    <col min="7" max="7" width="8.33333333333333" customWidth="1"/>
    <col min="8" max="8" width="11.6666666666667" customWidth="1"/>
    <col min="9" max="16383" width="3.77777777777778" customWidth="1"/>
  </cols>
  <sheetData>
    <row r="2" spans="2:9">
      <c r="B2" s="1" t="s">
        <v>37</v>
      </c>
      <c r="C2" s="1"/>
      <c r="D2" s="1"/>
      <c r="E2" s="2" t="s">
        <v>38</v>
      </c>
      <c r="G2" s="11" t="s">
        <v>408</v>
      </c>
      <c r="H2" s="11" t="s">
        <v>409</v>
      </c>
      <c r="I2" t="s">
        <v>410</v>
      </c>
    </row>
    <row r="3" spans="2:9">
      <c r="B3" s="3" t="s">
        <v>45</v>
      </c>
      <c r="C3" s="3"/>
      <c r="D3" s="3"/>
      <c r="E3" s="4" t="s">
        <v>46</v>
      </c>
      <c r="G3" s="13" t="s">
        <v>411</v>
      </c>
      <c r="H3" s="13" t="s">
        <v>412</v>
      </c>
      <c r="I3" t="str">
        <f t="shared" ref="I3:I13" si="0">CHAR(9)&amp;"('"&amp;G3&amp;"', '"&amp;H3&amp;"'),"</f>
        <v>	('01', 'A'),</v>
      </c>
    </row>
    <row r="4" spans="2:9">
      <c r="B4" s="1" t="s">
        <v>39</v>
      </c>
      <c r="C4" s="1"/>
      <c r="D4" s="1"/>
      <c r="E4" s="1"/>
      <c r="G4" s="13" t="s">
        <v>413</v>
      </c>
      <c r="H4" s="13" t="s">
        <v>414</v>
      </c>
      <c r="I4" t="str">
        <f t="shared" si="0"/>
        <v>	('02', 'B'),</v>
      </c>
    </row>
    <row r="5" spans="2:9">
      <c r="B5" s="3" t="s">
        <v>47</v>
      </c>
      <c r="C5" s="3"/>
      <c r="D5" s="3"/>
      <c r="E5" s="3"/>
      <c r="G5" s="13" t="s">
        <v>415</v>
      </c>
      <c r="H5" s="13" t="s">
        <v>416</v>
      </c>
      <c r="I5" t="str">
        <f t="shared" si="0"/>
        <v>	('03', 'C'),</v>
      </c>
    </row>
    <row r="6" spans="7:9">
      <c r="G6" s="13" t="s">
        <v>417</v>
      </c>
      <c r="H6" s="13" t="s">
        <v>418</v>
      </c>
      <c r="I6" t="str">
        <f t="shared" si="0"/>
        <v>	('04', 'D'),</v>
      </c>
    </row>
    <row r="7" spans="2:9">
      <c r="B7" s="5" t="s">
        <v>83</v>
      </c>
      <c r="C7" s="5" t="s">
        <v>84</v>
      </c>
      <c r="D7" s="5" t="s">
        <v>85</v>
      </c>
      <c r="E7" s="5" t="s">
        <v>39</v>
      </c>
      <c r="G7" s="13" t="s">
        <v>419</v>
      </c>
      <c r="H7" s="13" t="s">
        <v>420</v>
      </c>
      <c r="I7" t="str">
        <f t="shared" si="0"/>
        <v>	('05', 'E'),</v>
      </c>
    </row>
    <row r="8" spans="2:9">
      <c r="B8" s="10" t="s">
        <v>408</v>
      </c>
      <c r="C8" s="4" t="s">
        <v>89</v>
      </c>
      <c r="D8" s="4" t="s">
        <v>90</v>
      </c>
      <c r="E8" s="10" t="s">
        <v>421</v>
      </c>
      <c r="G8" s="13" t="s">
        <v>422</v>
      </c>
      <c r="H8" s="13" t="s">
        <v>423</v>
      </c>
      <c r="I8" t="str">
        <f t="shared" si="0"/>
        <v>	('06', 'F'),</v>
      </c>
    </row>
    <row r="9" spans="2:9">
      <c r="B9" s="10" t="s">
        <v>409</v>
      </c>
      <c r="C9" s="4"/>
      <c r="D9" s="4" t="s">
        <v>90</v>
      </c>
      <c r="E9" s="10" t="s">
        <v>424</v>
      </c>
      <c r="G9" s="13" t="s">
        <v>425</v>
      </c>
      <c r="H9" s="13" t="s">
        <v>426</v>
      </c>
      <c r="I9" t="str">
        <f t="shared" si="0"/>
        <v>	('07', 'G'),</v>
      </c>
    </row>
    <row r="10" spans="2:9">
      <c r="B10" s="10"/>
      <c r="C10" s="4"/>
      <c r="D10" s="4"/>
      <c r="E10" s="10"/>
      <c r="G10" s="13" t="s">
        <v>427</v>
      </c>
      <c r="H10" s="13" t="s">
        <v>428</v>
      </c>
      <c r="I10" t="str">
        <f t="shared" si="0"/>
        <v>	('08', 'H'),</v>
      </c>
    </row>
    <row r="11" spans="2:9">
      <c r="B11" s="10"/>
      <c r="C11" s="4"/>
      <c r="D11" s="4"/>
      <c r="E11" s="10"/>
      <c r="G11" s="13" t="s">
        <v>429</v>
      </c>
      <c r="H11" s="13" t="s">
        <v>430</v>
      </c>
      <c r="I11" t="str">
        <f t="shared" si="0"/>
        <v>	('09', 'I'),</v>
      </c>
    </row>
    <row r="12" spans="2:9">
      <c r="B12" s="10"/>
      <c r="C12" s="4"/>
      <c r="D12" s="4"/>
      <c r="E12" s="10"/>
      <c r="G12" s="13" t="s">
        <v>431</v>
      </c>
      <c r="H12" s="13" t="s">
        <v>432</v>
      </c>
      <c r="I12" t="str">
        <f t="shared" si="0"/>
        <v>	('10', 'J'),</v>
      </c>
    </row>
    <row r="13" spans="7:9">
      <c r="G13" s="13" t="s">
        <v>433</v>
      </c>
      <c r="H13" s="13" t="s">
        <v>434</v>
      </c>
      <c r="I13" t="str">
        <f t="shared" si="0"/>
        <v>	('11', 'K'),</v>
      </c>
    </row>
    <row r="14" spans="7:9">
      <c r="G14" s="13" t="s">
        <v>435</v>
      </c>
      <c r="H14" s="13" t="s">
        <v>436</v>
      </c>
      <c r="I14" t="str">
        <f>CHAR(9)&amp;"('"&amp;G14&amp;"', '"&amp;H14&amp;"')"</f>
        <v>	('12', 'L')</v>
      </c>
    </row>
    <row r="15" spans="9:9">
      <c r="I15" t="s">
        <v>293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51"/>
  <sheetViews>
    <sheetView workbookViewId="0">
      <selection activeCell="A1" sqref="A1"/>
    </sheetView>
  </sheetViews>
  <sheetFormatPr defaultColWidth="3.77777777777778" defaultRowHeight="18.75"/>
  <cols>
    <col min="1" max="1" width="3.77777777777778" customWidth="1"/>
    <col min="2" max="2" width="30.7777777777778" customWidth="1"/>
    <col min="3" max="4" width="5.77777777777778" customWidth="1"/>
    <col min="5" max="5" width="40.7777777777778" customWidth="1"/>
    <col min="6" max="6" width="3.77777777777778" customWidth="1"/>
    <col min="7" max="7" width="7.88888888888889" customWidth="1"/>
    <col min="8" max="8" width="22.3333333333333" customWidth="1"/>
    <col min="9" max="9" width="8.33333333333333" customWidth="1"/>
    <col min="10" max="16382" width="3.77777777777778" customWidth="1"/>
  </cols>
  <sheetData>
    <row r="2" spans="2:10">
      <c r="B2" s="1" t="s">
        <v>37</v>
      </c>
      <c r="C2" s="1"/>
      <c r="D2" s="1"/>
      <c r="E2" s="2" t="s">
        <v>38</v>
      </c>
      <c r="G2" s="11" t="s">
        <v>294</v>
      </c>
      <c r="H2" s="11" t="s">
        <v>437</v>
      </c>
      <c r="I2" s="11" t="s">
        <v>408</v>
      </c>
      <c r="J2" t="s">
        <v>438</v>
      </c>
    </row>
    <row r="3" spans="2:10">
      <c r="B3" s="3" t="s">
        <v>48</v>
      </c>
      <c r="C3" s="3"/>
      <c r="D3" s="3"/>
      <c r="E3" s="4" t="s">
        <v>46</v>
      </c>
      <c r="G3" s="13" t="s">
        <v>300</v>
      </c>
      <c r="H3" s="13" t="s">
        <v>302</v>
      </c>
      <c r="I3" s="13" t="s">
        <v>411</v>
      </c>
      <c r="J3" t="str">
        <f t="shared" ref="J3:J49" si="0">CHAR(9)&amp;"('"&amp;G3&amp;"', '"&amp;H3&amp;"', '"&amp;I3&amp;"'),"</f>
        <v>	('MEX', 'メキシコ', '01'),</v>
      </c>
    </row>
    <row r="4" spans="2:10">
      <c r="B4" s="1" t="s">
        <v>39</v>
      </c>
      <c r="C4" s="1"/>
      <c r="D4" s="1"/>
      <c r="E4" s="1"/>
      <c r="G4" s="13" t="s">
        <v>307</v>
      </c>
      <c r="H4" s="13" t="s">
        <v>308</v>
      </c>
      <c r="I4" s="13" t="s">
        <v>411</v>
      </c>
      <c r="J4" t="str">
        <f t="shared" si="0"/>
        <v>	('KOR', '大韓民国', '01'),</v>
      </c>
    </row>
    <row r="5" spans="2:10">
      <c r="B5" s="3" t="s">
        <v>49</v>
      </c>
      <c r="C5" s="3"/>
      <c r="D5" s="3"/>
      <c r="E5" s="3"/>
      <c r="G5" s="13" t="s">
        <v>310</v>
      </c>
      <c r="H5" s="13" t="s">
        <v>311</v>
      </c>
      <c r="I5" s="13" t="s">
        <v>411</v>
      </c>
      <c r="J5" t="str">
        <f t="shared" si="0"/>
        <v>	('CZE', 'チェコ共和国', '01'),</v>
      </c>
    </row>
    <row r="6" spans="7:10">
      <c r="G6" s="13" t="s">
        <v>304</v>
      </c>
      <c r="H6" s="13" t="s">
        <v>305</v>
      </c>
      <c r="I6" s="13" t="s">
        <v>411</v>
      </c>
      <c r="J6" t="str">
        <f t="shared" si="0"/>
        <v>	('RSA', '南アフリカ', '01'),</v>
      </c>
    </row>
    <row r="7" spans="2:10">
      <c r="B7" s="5" t="s">
        <v>83</v>
      </c>
      <c r="C7" s="5" t="s">
        <v>84</v>
      </c>
      <c r="D7" s="5" t="s">
        <v>85</v>
      </c>
      <c r="E7" s="5" t="s">
        <v>39</v>
      </c>
      <c r="G7" s="13" t="s">
        <v>313</v>
      </c>
      <c r="H7" s="13" t="s">
        <v>314</v>
      </c>
      <c r="I7" s="13" t="s">
        <v>413</v>
      </c>
      <c r="J7" t="str">
        <f t="shared" si="0"/>
        <v>	('CAN', 'カナダ', '02'),</v>
      </c>
    </row>
    <row r="8" spans="2:10">
      <c r="B8" s="10" t="s">
        <v>294</v>
      </c>
      <c r="C8" s="4" t="s">
        <v>89</v>
      </c>
      <c r="D8" s="4" t="s">
        <v>90</v>
      </c>
      <c r="E8" s="10" t="s">
        <v>319</v>
      </c>
      <c r="G8" s="13" t="s">
        <v>330</v>
      </c>
      <c r="H8" s="13" t="s">
        <v>331</v>
      </c>
      <c r="I8" s="13" t="s">
        <v>413</v>
      </c>
      <c r="J8" t="str">
        <f t="shared" si="0"/>
        <v>	('SUI', 'スイス', '02'),</v>
      </c>
    </row>
    <row r="9" spans="2:10">
      <c r="B9" s="10" t="s">
        <v>437</v>
      </c>
      <c r="C9" s="4"/>
      <c r="D9" s="4" t="s">
        <v>90</v>
      </c>
      <c r="E9" s="10" t="s">
        <v>439</v>
      </c>
      <c r="G9" s="13" t="s">
        <v>316</v>
      </c>
      <c r="H9" s="13" t="s">
        <v>317</v>
      </c>
      <c r="I9" s="13" t="s">
        <v>413</v>
      </c>
      <c r="J9" t="str">
        <f t="shared" si="0"/>
        <v>	('BIH', 'ボスニア・ヘルツェゴビナ', '02'),</v>
      </c>
    </row>
    <row r="10" spans="2:10">
      <c r="B10" s="10" t="s">
        <v>408</v>
      </c>
      <c r="C10" s="4"/>
      <c r="D10" s="4" t="s">
        <v>90</v>
      </c>
      <c r="E10" s="10" t="s">
        <v>421</v>
      </c>
      <c r="G10" s="13" t="s">
        <v>327</v>
      </c>
      <c r="H10" s="13" t="s">
        <v>328</v>
      </c>
      <c r="I10" s="13" t="s">
        <v>413</v>
      </c>
      <c r="J10" t="str">
        <f t="shared" si="0"/>
        <v>	('QAT', 'カタール', '02'),</v>
      </c>
    </row>
    <row r="11" spans="2:10">
      <c r="B11" s="10"/>
      <c r="C11" s="4"/>
      <c r="D11" s="4"/>
      <c r="E11" s="10"/>
      <c r="G11" s="13" t="s">
        <v>332</v>
      </c>
      <c r="H11" s="13" t="s">
        <v>333</v>
      </c>
      <c r="I11" s="13" t="s">
        <v>415</v>
      </c>
      <c r="J11" t="str">
        <f t="shared" si="0"/>
        <v>	('BRA', 'ブラジル', '03'),</v>
      </c>
    </row>
    <row r="12" spans="2:10">
      <c r="B12" s="10"/>
      <c r="C12" s="4"/>
      <c r="D12" s="4"/>
      <c r="E12" s="10"/>
      <c r="G12" s="13" t="s">
        <v>334</v>
      </c>
      <c r="H12" s="13" t="s">
        <v>335</v>
      </c>
      <c r="I12" s="13" t="s">
        <v>415</v>
      </c>
      <c r="J12" t="str">
        <f t="shared" si="0"/>
        <v>	('MAR', 'モロッコ', '03'),</v>
      </c>
    </row>
    <row r="13" spans="7:10">
      <c r="G13" s="13" t="s">
        <v>338</v>
      </c>
      <c r="H13" s="13" t="s">
        <v>339</v>
      </c>
      <c r="I13" s="13" t="s">
        <v>415</v>
      </c>
      <c r="J13" t="str">
        <f t="shared" si="0"/>
        <v>	('SCO', 'スコットランド', '03'),</v>
      </c>
    </row>
    <row r="14" spans="7:10">
      <c r="G14" s="13" t="s">
        <v>336</v>
      </c>
      <c r="H14" s="13" t="s">
        <v>337</v>
      </c>
      <c r="I14" s="13" t="s">
        <v>415</v>
      </c>
      <c r="J14" t="str">
        <f t="shared" si="0"/>
        <v>	('HAI', 'ハイチ', '03'),</v>
      </c>
    </row>
    <row r="15" spans="7:10">
      <c r="G15" s="13" t="s">
        <v>320</v>
      </c>
      <c r="H15" s="13" t="s">
        <v>321</v>
      </c>
      <c r="I15" s="13" t="s">
        <v>417</v>
      </c>
      <c r="J15" t="str">
        <f t="shared" si="0"/>
        <v>	('USA', 'アメリカ合衆国', '04'),</v>
      </c>
    </row>
    <row r="16" spans="7:10">
      <c r="G16" s="13" t="s">
        <v>340</v>
      </c>
      <c r="H16" s="13" t="s">
        <v>341</v>
      </c>
      <c r="I16" s="13" t="s">
        <v>417</v>
      </c>
      <c r="J16" t="str">
        <f t="shared" si="0"/>
        <v>	('AUS', 'オーストラリア', '04'),</v>
      </c>
    </row>
    <row r="17" spans="7:10">
      <c r="G17" s="13" t="s">
        <v>324</v>
      </c>
      <c r="H17" s="13" t="s">
        <v>325</v>
      </c>
      <c r="I17" s="13" t="s">
        <v>417</v>
      </c>
      <c r="J17" t="str">
        <f t="shared" si="0"/>
        <v>	('PAR', 'パラグアイ', '04'),</v>
      </c>
    </row>
    <row r="18" spans="7:10">
      <c r="G18" s="13" t="s">
        <v>342</v>
      </c>
      <c r="H18" s="13" t="s">
        <v>343</v>
      </c>
      <c r="I18" s="13" t="s">
        <v>417</v>
      </c>
      <c r="J18" t="str">
        <f t="shared" si="0"/>
        <v>	('TUR', 'トルコ', '04'),</v>
      </c>
    </row>
    <row r="19" spans="7:10">
      <c r="G19" s="13" t="s">
        <v>344</v>
      </c>
      <c r="H19" s="13" t="s">
        <v>345</v>
      </c>
      <c r="I19" s="13" t="s">
        <v>419</v>
      </c>
      <c r="J19" t="str">
        <f t="shared" si="0"/>
        <v>	('GER', 'ドイツ', '05'),</v>
      </c>
    </row>
    <row r="20" spans="7:10">
      <c r="G20" s="13" t="s">
        <v>352</v>
      </c>
      <c r="H20" s="13" t="s">
        <v>353</v>
      </c>
      <c r="I20" s="13" t="s">
        <v>419</v>
      </c>
      <c r="J20" t="str">
        <f t="shared" si="0"/>
        <v>	('CIV', 'コートジボワール', '05'),</v>
      </c>
    </row>
    <row r="21" spans="7:10">
      <c r="G21" s="13" t="s">
        <v>354</v>
      </c>
      <c r="H21" s="13" t="s">
        <v>355</v>
      </c>
      <c r="I21" s="13" t="s">
        <v>419</v>
      </c>
      <c r="J21" t="str">
        <f t="shared" si="0"/>
        <v>	('ECU', 'エクアドル', '05'),</v>
      </c>
    </row>
    <row r="22" spans="7:10">
      <c r="G22" s="13" t="s">
        <v>346</v>
      </c>
      <c r="H22" s="13" t="s">
        <v>347</v>
      </c>
      <c r="I22" s="13" t="s">
        <v>419</v>
      </c>
      <c r="J22" t="str">
        <f t="shared" si="0"/>
        <v>	('CUW', 'キュラソー', '05'),</v>
      </c>
    </row>
    <row r="23" spans="7:10">
      <c r="G23" s="13" t="s">
        <v>348</v>
      </c>
      <c r="H23" s="13" t="s">
        <v>349</v>
      </c>
      <c r="I23" s="13" t="s">
        <v>422</v>
      </c>
      <c r="J23" t="str">
        <f t="shared" si="0"/>
        <v>	('NED', 'オランダ', '06'),</v>
      </c>
    </row>
    <row r="24" spans="7:10">
      <c r="G24" s="13" t="s">
        <v>350</v>
      </c>
      <c r="H24" s="13" t="s">
        <v>351</v>
      </c>
      <c r="I24" s="13" t="s">
        <v>422</v>
      </c>
      <c r="J24" t="str">
        <f t="shared" si="0"/>
        <v>	('JPN', '日本', '06'),</v>
      </c>
    </row>
    <row r="25" spans="7:10">
      <c r="G25" s="13" t="s">
        <v>356</v>
      </c>
      <c r="H25" s="13" t="s">
        <v>357</v>
      </c>
      <c r="I25" s="13" t="s">
        <v>422</v>
      </c>
      <c r="J25" t="str">
        <f t="shared" si="0"/>
        <v>	('SWE', 'スウェーデン', '06'),</v>
      </c>
    </row>
    <row r="26" spans="7:10">
      <c r="G26" s="13" t="s">
        <v>358</v>
      </c>
      <c r="H26" s="13" t="s">
        <v>359</v>
      </c>
      <c r="I26" s="13" t="s">
        <v>422</v>
      </c>
      <c r="J26" t="str">
        <f t="shared" si="0"/>
        <v>	('TUN', 'チュニジア', '06'),</v>
      </c>
    </row>
    <row r="27" spans="7:10">
      <c r="G27" s="13" t="s">
        <v>366</v>
      </c>
      <c r="H27" s="13" t="s">
        <v>367</v>
      </c>
      <c r="I27" s="13" t="s">
        <v>425</v>
      </c>
      <c r="J27" t="str">
        <f t="shared" si="0"/>
        <v>	('EGY', 'エジプト', '07'),</v>
      </c>
    </row>
    <row r="28" spans="7:10">
      <c r="G28" s="13" t="s">
        <v>372</v>
      </c>
      <c r="H28" s="13" t="s">
        <v>373</v>
      </c>
      <c r="I28" s="13" t="s">
        <v>425</v>
      </c>
      <c r="J28" t="str">
        <f t="shared" si="0"/>
        <v>	('IRN', 'イラン', '07'),</v>
      </c>
    </row>
    <row r="29" spans="7:10">
      <c r="G29" s="13" t="s">
        <v>364</v>
      </c>
      <c r="H29" s="13" t="s">
        <v>365</v>
      </c>
      <c r="I29" s="13" t="s">
        <v>425</v>
      </c>
      <c r="J29" t="str">
        <f t="shared" si="0"/>
        <v>	('BEL', 'ベルギー', '07'),</v>
      </c>
    </row>
    <row r="30" spans="7:10">
      <c r="G30" s="13" t="s">
        <v>374</v>
      </c>
      <c r="H30" s="13" t="s">
        <v>375</v>
      </c>
      <c r="I30" s="13" t="s">
        <v>425</v>
      </c>
      <c r="J30" t="str">
        <f t="shared" si="0"/>
        <v>	('NZL', 'ニュージーランド', '07'),</v>
      </c>
    </row>
    <row r="31" spans="7:10">
      <c r="G31" s="13" t="s">
        <v>360</v>
      </c>
      <c r="H31" s="13" t="s">
        <v>361</v>
      </c>
      <c r="I31" s="13" t="s">
        <v>427</v>
      </c>
      <c r="J31" t="str">
        <f t="shared" si="0"/>
        <v>	('ESP', 'スペイン', '08'),</v>
      </c>
    </row>
    <row r="32" spans="7:10">
      <c r="G32" s="13" t="s">
        <v>370</v>
      </c>
      <c r="H32" s="13" t="s">
        <v>371</v>
      </c>
      <c r="I32" s="13" t="s">
        <v>427</v>
      </c>
      <c r="J32" t="str">
        <f t="shared" si="0"/>
        <v>	('URU', 'ウルグアイ', '08'),</v>
      </c>
    </row>
    <row r="33" spans="7:10">
      <c r="G33" s="13" t="s">
        <v>362</v>
      </c>
      <c r="H33" s="13" t="s">
        <v>363</v>
      </c>
      <c r="I33" s="13" t="s">
        <v>427</v>
      </c>
      <c r="J33" t="str">
        <f t="shared" si="0"/>
        <v>	('CPV', 'カーボベルデ', '08'),</v>
      </c>
    </row>
    <row r="34" spans="7:10">
      <c r="G34" s="13" t="s">
        <v>368</v>
      </c>
      <c r="H34" s="13" t="s">
        <v>369</v>
      </c>
      <c r="I34" s="13" t="s">
        <v>427</v>
      </c>
      <c r="J34" t="str">
        <f t="shared" si="0"/>
        <v>	('KSA', 'サウジアラビア', '08'),</v>
      </c>
    </row>
    <row r="35" spans="7:10">
      <c r="G35" s="13" t="s">
        <v>376</v>
      </c>
      <c r="H35" s="13" t="s">
        <v>377</v>
      </c>
      <c r="I35" s="13" t="s">
        <v>429</v>
      </c>
      <c r="J35" t="str">
        <f t="shared" si="0"/>
        <v>	('FRA', 'フランス', '09'),</v>
      </c>
    </row>
    <row r="36" spans="7:10">
      <c r="G36" s="13" t="s">
        <v>382</v>
      </c>
      <c r="H36" s="13" t="s">
        <v>383</v>
      </c>
      <c r="I36" s="13" t="s">
        <v>429</v>
      </c>
      <c r="J36" t="str">
        <f t="shared" si="0"/>
        <v>	('NOR', 'ノルウェー', '09'),</v>
      </c>
    </row>
    <row r="37" spans="7:10">
      <c r="G37" s="13" t="s">
        <v>378</v>
      </c>
      <c r="H37" s="13" t="s">
        <v>379</v>
      </c>
      <c r="I37" s="13" t="s">
        <v>429</v>
      </c>
      <c r="J37" t="str">
        <f t="shared" si="0"/>
        <v>	('SEN', 'セネガル', '09'),</v>
      </c>
    </row>
    <row r="38" spans="7:10">
      <c r="G38" s="13" t="s">
        <v>380</v>
      </c>
      <c r="H38" s="13" t="s">
        <v>381</v>
      </c>
      <c r="I38" s="13" t="s">
        <v>429</v>
      </c>
      <c r="J38" t="str">
        <f t="shared" si="0"/>
        <v>	('IRQ', 'イラク', '09'),</v>
      </c>
    </row>
    <row r="39" spans="7:10">
      <c r="G39" s="13" t="s">
        <v>384</v>
      </c>
      <c r="H39" s="13" t="s">
        <v>385</v>
      </c>
      <c r="I39" s="13" t="s">
        <v>431</v>
      </c>
      <c r="J39" t="str">
        <f t="shared" si="0"/>
        <v>	('ARG', 'アルゼンチン', '10'),</v>
      </c>
    </row>
    <row r="40" spans="7:10">
      <c r="G40" s="13" t="s">
        <v>388</v>
      </c>
      <c r="H40" s="13" t="s">
        <v>389</v>
      </c>
      <c r="I40" s="13" t="s">
        <v>431</v>
      </c>
      <c r="J40" t="str">
        <f t="shared" si="0"/>
        <v>	('AUT', 'オーストリア', '10'),</v>
      </c>
    </row>
    <row r="41" spans="7:10">
      <c r="G41" s="13" t="s">
        <v>390</v>
      </c>
      <c r="H41" s="13" t="s">
        <v>391</v>
      </c>
      <c r="I41" s="13" t="s">
        <v>431</v>
      </c>
      <c r="J41" t="str">
        <f t="shared" si="0"/>
        <v>	('JOR', 'ヨルダン', '10'),</v>
      </c>
    </row>
    <row r="42" spans="7:10">
      <c r="G42" s="13" t="s">
        <v>386</v>
      </c>
      <c r="H42" s="13" t="s">
        <v>387</v>
      </c>
      <c r="I42" s="13" t="s">
        <v>431</v>
      </c>
      <c r="J42" t="str">
        <f t="shared" si="0"/>
        <v>	('ALG', 'アルジェリア', '10'),</v>
      </c>
    </row>
    <row r="43" spans="7:10">
      <c r="G43" s="13" t="s">
        <v>406</v>
      </c>
      <c r="H43" s="13" t="s">
        <v>407</v>
      </c>
      <c r="I43" s="13" t="s">
        <v>433</v>
      </c>
      <c r="J43" t="str">
        <f t="shared" si="0"/>
        <v>	('COL', 'コロンビア', '11'),</v>
      </c>
    </row>
    <row r="44" spans="7:10">
      <c r="G44" s="13" t="s">
        <v>394</v>
      </c>
      <c r="H44" s="13" t="s">
        <v>395</v>
      </c>
      <c r="I44" s="13" t="s">
        <v>433</v>
      </c>
      <c r="J44" t="str">
        <f t="shared" si="0"/>
        <v>	('COD', 'コンゴ民主共和国', '11'),</v>
      </c>
    </row>
    <row r="45" spans="7:10">
      <c r="G45" s="13" t="s">
        <v>392</v>
      </c>
      <c r="H45" s="13" t="s">
        <v>393</v>
      </c>
      <c r="I45" s="13" t="s">
        <v>433</v>
      </c>
      <c r="J45" t="str">
        <f t="shared" si="0"/>
        <v>	('POR', 'ポルトガル', '11'),</v>
      </c>
    </row>
    <row r="46" spans="7:10">
      <c r="G46" s="13" t="s">
        <v>404</v>
      </c>
      <c r="H46" s="13" t="s">
        <v>405</v>
      </c>
      <c r="I46" s="13" t="s">
        <v>433</v>
      </c>
      <c r="J46" t="str">
        <f t="shared" si="0"/>
        <v>	('UZB', 'ウズベキスタン', '11'),</v>
      </c>
    </row>
    <row r="47" spans="7:10">
      <c r="G47" s="13" t="s">
        <v>396</v>
      </c>
      <c r="H47" s="13" t="s">
        <v>397</v>
      </c>
      <c r="I47" s="13" t="s">
        <v>435</v>
      </c>
      <c r="J47" t="str">
        <f t="shared" si="0"/>
        <v>	('ENG', 'イングランド', '12'),</v>
      </c>
    </row>
    <row r="48" spans="7:10">
      <c r="G48" s="13" t="s">
        <v>400</v>
      </c>
      <c r="H48" s="13" t="s">
        <v>401</v>
      </c>
      <c r="I48" s="13" t="s">
        <v>435</v>
      </c>
      <c r="J48" t="str">
        <f t="shared" si="0"/>
        <v>	('GHA', 'ガーナ', '12'),</v>
      </c>
    </row>
    <row r="49" spans="7:10">
      <c r="G49" s="13" t="s">
        <v>402</v>
      </c>
      <c r="H49" s="13" t="s">
        <v>403</v>
      </c>
      <c r="I49" s="13" t="s">
        <v>435</v>
      </c>
      <c r="J49" t="str">
        <f t="shared" si="0"/>
        <v>	('PAN', 'パナマ', '12'),</v>
      </c>
    </row>
    <row r="50" spans="7:10">
      <c r="G50" s="13" t="s">
        <v>398</v>
      </c>
      <c r="H50" s="13" t="s">
        <v>399</v>
      </c>
      <c r="I50" s="13" t="s">
        <v>435</v>
      </c>
      <c r="J50" t="str">
        <f>CHAR(9)&amp;"('"&amp;G50&amp;"', '"&amp;H50&amp;"', '"&amp;I50&amp;"')"</f>
        <v>	('CRO', 'クロアチア', '12')</v>
      </c>
    </row>
    <row r="51" spans="10:10">
      <c r="J51" t="s">
        <v>293</v>
      </c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14"/>
  <sheetViews>
    <sheetView workbookViewId="0">
      <selection activeCell="A1" sqref="A1"/>
    </sheetView>
  </sheetViews>
  <sheetFormatPr defaultColWidth="3.77777777777778" defaultRowHeight="18.75"/>
  <cols>
    <col min="1" max="1" width="3.77777777777778" customWidth="1"/>
    <col min="2" max="2" width="30.7777777777778" customWidth="1"/>
    <col min="3" max="4" width="5.77777777777778" customWidth="1"/>
    <col min="5" max="5" width="40.7777777777778" customWidth="1"/>
    <col min="6" max="6" width="3.77777777777778" customWidth="1"/>
    <col min="7" max="7" width="7.33333333333333" customWidth="1"/>
    <col min="8" max="8" width="7.88888888888889" customWidth="1"/>
    <col min="9" max="9" width="33.3333333333333" customWidth="1"/>
    <col min="10" max="10" width="3.77777777777778" customWidth="1"/>
  </cols>
  <sheetData>
    <row r="2" spans="2:10">
      <c r="B2" s="1" t="s">
        <v>37</v>
      </c>
      <c r="C2" s="1"/>
      <c r="D2" s="1"/>
      <c r="E2" s="2" t="s">
        <v>38</v>
      </c>
      <c r="G2" s="11" t="s">
        <v>440</v>
      </c>
      <c r="H2" s="11" t="s">
        <v>294</v>
      </c>
      <c r="I2" s="23" t="s">
        <v>441</v>
      </c>
      <c r="J2" t="s">
        <v>442</v>
      </c>
    </row>
    <row r="3" spans="2:10">
      <c r="B3" s="3" t="s">
        <v>50</v>
      </c>
      <c r="C3" s="3"/>
      <c r="D3" s="3"/>
      <c r="E3" s="4" t="s">
        <v>46</v>
      </c>
      <c r="G3" s="12">
        <v>1</v>
      </c>
      <c r="H3" s="13" t="s">
        <v>384</v>
      </c>
      <c r="I3" s="15" t="s">
        <v>385</v>
      </c>
      <c r="J3" t="str">
        <f>CHAR(9)&amp;"("&amp;G3&amp;", '"&amp;H3&amp;"'),"</f>
        <v>	(1, 'ARG'),</v>
      </c>
    </row>
    <row r="4" spans="2:10">
      <c r="B4" s="1" t="s">
        <v>39</v>
      </c>
      <c r="C4" s="1"/>
      <c r="D4" s="1"/>
      <c r="E4" s="1"/>
      <c r="G4" s="12">
        <v>2</v>
      </c>
      <c r="H4" s="13" t="s">
        <v>360</v>
      </c>
      <c r="I4" s="15" t="s">
        <v>361</v>
      </c>
      <c r="J4" t="str">
        <f t="shared" ref="J3:J66" si="0">CHAR(9)&amp;"("&amp;G4&amp;", '"&amp;H4&amp;"'),"</f>
        <v>	(2, 'ESP'),</v>
      </c>
    </row>
    <row r="5" spans="2:10">
      <c r="B5" s="3" t="s">
        <v>51</v>
      </c>
      <c r="C5" s="3"/>
      <c r="D5" s="3"/>
      <c r="E5" s="3"/>
      <c r="G5" s="12">
        <v>3</v>
      </c>
      <c r="H5" s="13" t="s">
        <v>376</v>
      </c>
      <c r="I5" s="15" t="s">
        <v>377</v>
      </c>
      <c r="J5" t="str">
        <f t="shared" si="0"/>
        <v>	(3, 'FRA'),</v>
      </c>
    </row>
    <row r="6" spans="7:10">
      <c r="G6" s="12">
        <v>4</v>
      </c>
      <c r="H6" s="13" t="s">
        <v>396</v>
      </c>
      <c r="I6" s="15" t="s">
        <v>397</v>
      </c>
      <c r="J6" t="str">
        <f t="shared" si="0"/>
        <v>	(4, 'ENG'),</v>
      </c>
    </row>
    <row r="7" spans="2:10">
      <c r="B7" s="5" t="s">
        <v>83</v>
      </c>
      <c r="C7" s="5" t="s">
        <v>84</v>
      </c>
      <c r="D7" s="5" t="s">
        <v>85</v>
      </c>
      <c r="E7" s="5" t="s">
        <v>39</v>
      </c>
      <c r="G7" s="12">
        <v>5</v>
      </c>
      <c r="H7" s="13" t="s">
        <v>392</v>
      </c>
      <c r="I7" s="15" t="s">
        <v>393</v>
      </c>
      <c r="J7" t="str">
        <f t="shared" si="0"/>
        <v>	(5, 'POR'),</v>
      </c>
    </row>
    <row r="8" spans="2:10">
      <c r="B8" s="10" t="s">
        <v>440</v>
      </c>
      <c r="C8" s="4" t="s">
        <v>89</v>
      </c>
      <c r="D8" s="4" t="s">
        <v>322</v>
      </c>
      <c r="E8" s="10" t="s">
        <v>51</v>
      </c>
      <c r="G8" s="12">
        <v>6</v>
      </c>
      <c r="H8" s="13" t="s">
        <v>332</v>
      </c>
      <c r="I8" s="15" t="s">
        <v>333</v>
      </c>
      <c r="J8" t="str">
        <f t="shared" si="0"/>
        <v>	(6, 'BRA'),</v>
      </c>
    </row>
    <row r="9" spans="2:10">
      <c r="B9" s="10" t="s">
        <v>294</v>
      </c>
      <c r="C9" s="4" t="s">
        <v>89</v>
      </c>
      <c r="D9" s="4" t="s">
        <v>90</v>
      </c>
      <c r="E9" s="10" t="s">
        <v>319</v>
      </c>
      <c r="G9" s="12">
        <v>7</v>
      </c>
      <c r="H9" s="13" t="s">
        <v>334</v>
      </c>
      <c r="I9" s="15" t="s">
        <v>335</v>
      </c>
      <c r="J9" t="str">
        <f t="shared" si="0"/>
        <v>	(7, 'MAR'),</v>
      </c>
    </row>
    <row r="10" spans="2:10">
      <c r="B10" s="10"/>
      <c r="C10" s="4"/>
      <c r="D10" s="4"/>
      <c r="E10" s="10"/>
      <c r="G10" s="12">
        <v>8</v>
      </c>
      <c r="H10" s="13" t="s">
        <v>348</v>
      </c>
      <c r="I10" s="15" t="s">
        <v>349</v>
      </c>
      <c r="J10" t="str">
        <f t="shared" si="0"/>
        <v>	(8, 'NED'),</v>
      </c>
    </row>
    <row r="11" spans="2:10">
      <c r="B11" s="10"/>
      <c r="C11" s="4"/>
      <c r="D11" s="4"/>
      <c r="E11" s="10"/>
      <c r="G11" s="12">
        <v>9</v>
      </c>
      <c r="H11" s="13" t="s">
        <v>364</v>
      </c>
      <c r="I11" s="15" t="s">
        <v>365</v>
      </c>
      <c r="J11" t="str">
        <f t="shared" si="0"/>
        <v>	(9, 'BEL'),</v>
      </c>
    </row>
    <row r="12" spans="2:10">
      <c r="B12" s="10"/>
      <c r="C12" s="4"/>
      <c r="D12" s="4"/>
      <c r="E12" s="10"/>
      <c r="G12" s="12">
        <v>10</v>
      </c>
      <c r="H12" s="13" t="s">
        <v>344</v>
      </c>
      <c r="I12" s="15" t="s">
        <v>345</v>
      </c>
      <c r="J12" t="str">
        <f t="shared" si="0"/>
        <v>	(10, 'GER'),</v>
      </c>
    </row>
    <row r="13" spans="7:10">
      <c r="G13" s="12">
        <v>11</v>
      </c>
      <c r="H13" s="13" t="s">
        <v>398</v>
      </c>
      <c r="I13" s="15" t="s">
        <v>399</v>
      </c>
      <c r="J13" t="str">
        <f t="shared" si="0"/>
        <v>	(11, 'CRO'),</v>
      </c>
    </row>
    <row r="14" spans="7:10">
      <c r="G14" s="12">
        <v>12</v>
      </c>
      <c r="H14" s="13" t="s">
        <v>443</v>
      </c>
      <c r="I14" s="15" t="s">
        <v>444</v>
      </c>
      <c r="J14" t="str">
        <f t="shared" si="0"/>
        <v>	(12, 'ITA'),</v>
      </c>
    </row>
    <row r="15" spans="7:10">
      <c r="G15" s="12">
        <v>13</v>
      </c>
      <c r="H15" s="13" t="s">
        <v>406</v>
      </c>
      <c r="I15" s="15" t="s">
        <v>407</v>
      </c>
      <c r="J15" t="str">
        <f t="shared" si="0"/>
        <v>	(13, 'COL'),</v>
      </c>
    </row>
    <row r="16" spans="7:10">
      <c r="G16" s="12">
        <v>14</v>
      </c>
      <c r="H16" s="13" t="s">
        <v>300</v>
      </c>
      <c r="I16" s="15" t="s">
        <v>302</v>
      </c>
      <c r="J16" t="str">
        <f t="shared" si="0"/>
        <v>	(14, 'MEX'),</v>
      </c>
    </row>
    <row r="17" spans="7:10">
      <c r="G17" s="12">
        <v>15</v>
      </c>
      <c r="H17" s="13" t="s">
        <v>378</v>
      </c>
      <c r="I17" s="15" t="s">
        <v>379</v>
      </c>
      <c r="J17" t="str">
        <f t="shared" si="0"/>
        <v>	(15, 'SEN'),</v>
      </c>
    </row>
    <row r="18" spans="7:10">
      <c r="G18" s="12">
        <v>16</v>
      </c>
      <c r="H18" s="13" t="s">
        <v>370</v>
      </c>
      <c r="I18" s="15" t="s">
        <v>371</v>
      </c>
      <c r="J18" t="str">
        <f t="shared" si="0"/>
        <v>	(16, 'URU'),</v>
      </c>
    </row>
    <row r="19" spans="7:10">
      <c r="G19" s="12">
        <v>17</v>
      </c>
      <c r="H19" s="13" t="s">
        <v>320</v>
      </c>
      <c r="I19" s="15" t="s">
        <v>321</v>
      </c>
      <c r="J19" t="str">
        <f t="shared" si="0"/>
        <v>	(17, 'USA'),</v>
      </c>
    </row>
    <row r="20" spans="7:10">
      <c r="G20" s="12">
        <v>18</v>
      </c>
      <c r="H20" s="13" t="s">
        <v>350</v>
      </c>
      <c r="I20" s="15" t="s">
        <v>351</v>
      </c>
      <c r="J20" t="str">
        <f t="shared" si="0"/>
        <v>	(18, 'JPN'),</v>
      </c>
    </row>
    <row r="21" spans="7:10">
      <c r="G21" s="12">
        <v>19</v>
      </c>
      <c r="H21" s="13" t="s">
        <v>330</v>
      </c>
      <c r="I21" s="15" t="s">
        <v>331</v>
      </c>
      <c r="J21" t="str">
        <f t="shared" si="0"/>
        <v>	(19, 'SUI'),</v>
      </c>
    </row>
    <row r="22" spans="7:10">
      <c r="G22" s="12">
        <v>20</v>
      </c>
      <c r="H22" s="13" t="s">
        <v>372</v>
      </c>
      <c r="I22" s="15" t="s">
        <v>373</v>
      </c>
      <c r="J22" t="str">
        <f t="shared" si="0"/>
        <v>	(20, 'IRN'),</v>
      </c>
    </row>
    <row r="23" spans="7:10">
      <c r="G23" s="12">
        <v>21</v>
      </c>
      <c r="H23" s="13" t="s">
        <v>445</v>
      </c>
      <c r="I23" s="15" t="s">
        <v>446</v>
      </c>
      <c r="J23" t="str">
        <f t="shared" si="0"/>
        <v>	(21, 'DEN'),</v>
      </c>
    </row>
    <row r="24" spans="7:10">
      <c r="G24" s="12">
        <v>22</v>
      </c>
      <c r="H24" s="13" t="s">
        <v>342</v>
      </c>
      <c r="I24" s="15" t="s">
        <v>343</v>
      </c>
      <c r="J24" t="str">
        <f t="shared" si="0"/>
        <v>	(22, 'TUR'),</v>
      </c>
    </row>
    <row r="25" spans="7:10">
      <c r="G25" s="12">
        <v>23</v>
      </c>
      <c r="H25" s="13" t="s">
        <v>354</v>
      </c>
      <c r="I25" s="15" t="s">
        <v>355</v>
      </c>
      <c r="J25" t="str">
        <f t="shared" si="0"/>
        <v>	(23, 'ECU'),</v>
      </c>
    </row>
    <row r="26" spans="7:10">
      <c r="G26" s="12">
        <v>24</v>
      </c>
      <c r="H26" s="13" t="s">
        <v>388</v>
      </c>
      <c r="I26" s="15" t="s">
        <v>389</v>
      </c>
      <c r="J26" t="str">
        <f t="shared" si="0"/>
        <v>	(24, 'AUT'),</v>
      </c>
    </row>
    <row r="27" spans="7:10">
      <c r="G27" s="12">
        <v>25</v>
      </c>
      <c r="H27" s="13" t="s">
        <v>307</v>
      </c>
      <c r="I27" s="15" t="s">
        <v>308</v>
      </c>
      <c r="J27" t="str">
        <f t="shared" si="0"/>
        <v>	(25, 'KOR'),</v>
      </c>
    </row>
    <row r="28" spans="7:10">
      <c r="G28" s="12">
        <v>26</v>
      </c>
      <c r="H28" s="13" t="s">
        <v>447</v>
      </c>
      <c r="I28" s="15" t="s">
        <v>448</v>
      </c>
      <c r="J28" t="str">
        <f t="shared" si="0"/>
        <v>	(26, 'NGA'),</v>
      </c>
    </row>
    <row r="29" spans="7:10">
      <c r="G29" s="12">
        <v>27</v>
      </c>
      <c r="H29" s="13" t="s">
        <v>340</v>
      </c>
      <c r="I29" s="15" t="s">
        <v>341</v>
      </c>
      <c r="J29" t="str">
        <f t="shared" si="0"/>
        <v>	(27, 'AUS'),</v>
      </c>
    </row>
    <row r="30" spans="7:10">
      <c r="G30" s="12">
        <v>28</v>
      </c>
      <c r="H30" s="13" t="s">
        <v>386</v>
      </c>
      <c r="I30" s="15" t="s">
        <v>387</v>
      </c>
      <c r="J30" t="str">
        <f t="shared" si="0"/>
        <v>	(28, 'ALG'),</v>
      </c>
    </row>
    <row r="31" spans="7:10">
      <c r="G31" s="12">
        <v>29</v>
      </c>
      <c r="H31" s="13" t="s">
        <v>366</v>
      </c>
      <c r="I31" s="15" t="s">
        <v>367</v>
      </c>
      <c r="J31" t="str">
        <f t="shared" si="0"/>
        <v>	(29, 'EGY'),</v>
      </c>
    </row>
    <row r="32" spans="7:10">
      <c r="G32" s="12">
        <v>30</v>
      </c>
      <c r="H32" s="13" t="s">
        <v>313</v>
      </c>
      <c r="I32" s="15" t="s">
        <v>314</v>
      </c>
      <c r="J32" t="str">
        <f t="shared" si="0"/>
        <v>	(30, 'CAN'),</v>
      </c>
    </row>
    <row r="33" spans="7:10">
      <c r="G33" s="12">
        <v>31</v>
      </c>
      <c r="H33" s="13" t="s">
        <v>382</v>
      </c>
      <c r="I33" s="15" t="s">
        <v>383</v>
      </c>
      <c r="J33" t="str">
        <f t="shared" si="0"/>
        <v>	(31, 'NOR'),</v>
      </c>
    </row>
    <row r="34" spans="7:10">
      <c r="G34" s="12">
        <v>32</v>
      </c>
      <c r="H34" s="13" t="s">
        <v>449</v>
      </c>
      <c r="I34" s="15" t="s">
        <v>450</v>
      </c>
      <c r="J34" t="str">
        <f t="shared" si="0"/>
        <v>	(32, 'UKR'),</v>
      </c>
    </row>
    <row r="35" spans="7:10">
      <c r="G35" s="12">
        <v>33</v>
      </c>
      <c r="H35" s="13" t="s">
        <v>352</v>
      </c>
      <c r="I35" s="15" t="s">
        <v>353</v>
      </c>
      <c r="J35" t="str">
        <f t="shared" si="0"/>
        <v>	(33, 'CIV'),</v>
      </c>
    </row>
    <row r="36" spans="7:10">
      <c r="G36" s="12">
        <v>34</v>
      </c>
      <c r="H36" s="13" t="s">
        <v>402</v>
      </c>
      <c r="I36" s="15" t="s">
        <v>403</v>
      </c>
      <c r="J36" t="str">
        <f t="shared" si="0"/>
        <v>	(34, 'PAN'),</v>
      </c>
    </row>
    <row r="37" spans="7:10">
      <c r="G37" s="12">
        <v>35</v>
      </c>
      <c r="H37" s="13" t="s">
        <v>451</v>
      </c>
      <c r="I37" s="15" t="s">
        <v>452</v>
      </c>
      <c r="J37" t="str">
        <f t="shared" si="0"/>
        <v>	(35, 'RUS'),</v>
      </c>
    </row>
    <row r="38" spans="7:10">
      <c r="G38" s="12">
        <v>36</v>
      </c>
      <c r="H38" s="13" t="s">
        <v>453</v>
      </c>
      <c r="I38" s="15" t="s">
        <v>454</v>
      </c>
      <c r="J38" t="str">
        <f t="shared" si="0"/>
        <v>	(36, 'POL'),</v>
      </c>
    </row>
    <row r="39" spans="7:10">
      <c r="G39" s="12">
        <v>37</v>
      </c>
      <c r="H39" s="13" t="s">
        <v>455</v>
      </c>
      <c r="I39" s="15" t="s">
        <v>456</v>
      </c>
      <c r="J39" t="str">
        <f t="shared" si="0"/>
        <v>	(37, 'WAL'),</v>
      </c>
    </row>
    <row r="40" spans="7:10">
      <c r="G40" s="12">
        <v>38</v>
      </c>
      <c r="H40" s="13" t="s">
        <v>356</v>
      </c>
      <c r="I40" s="15" t="s">
        <v>357</v>
      </c>
      <c r="J40" t="str">
        <f t="shared" si="0"/>
        <v>	(38, 'SWE'),</v>
      </c>
    </row>
    <row r="41" spans="7:10">
      <c r="G41" s="12">
        <v>39</v>
      </c>
      <c r="H41" s="13" t="s">
        <v>457</v>
      </c>
      <c r="I41" s="15" t="s">
        <v>458</v>
      </c>
      <c r="J41" t="str">
        <f t="shared" si="0"/>
        <v>	(39, 'HUN'),</v>
      </c>
    </row>
    <row r="42" spans="7:10">
      <c r="G42" s="12">
        <v>40</v>
      </c>
      <c r="H42" s="13" t="s">
        <v>310</v>
      </c>
      <c r="I42" s="15" t="s">
        <v>311</v>
      </c>
      <c r="J42" t="str">
        <f t="shared" si="0"/>
        <v>	(40, 'CZE'),</v>
      </c>
    </row>
    <row r="43" spans="7:10">
      <c r="G43" s="12">
        <v>41</v>
      </c>
      <c r="H43" s="13" t="s">
        <v>324</v>
      </c>
      <c r="I43" s="15" t="s">
        <v>325</v>
      </c>
      <c r="J43" t="str">
        <f t="shared" si="0"/>
        <v>	(41, 'PAR'),</v>
      </c>
    </row>
    <row r="44" spans="7:10">
      <c r="G44" s="12">
        <v>42</v>
      </c>
      <c r="H44" s="13" t="s">
        <v>338</v>
      </c>
      <c r="I44" s="15" t="s">
        <v>339</v>
      </c>
      <c r="J44" t="str">
        <f t="shared" si="0"/>
        <v>	(42, 'SCO'),</v>
      </c>
    </row>
    <row r="45" spans="7:10">
      <c r="G45" s="12">
        <v>43</v>
      </c>
      <c r="H45" s="13" t="s">
        <v>459</v>
      </c>
      <c r="I45" s="15" t="s">
        <v>460</v>
      </c>
      <c r="J45" t="str">
        <f t="shared" si="0"/>
        <v>	(43, 'SRB'),</v>
      </c>
    </row>
    <row r="46" spans="7:10">
      <c r="G46" s="12">
        <v>44</v>
      </c>
      <c r="H46" s="13" t="s">
        <v>461</v>
      </c>
      <c r="I46" s="15" t="s">
        <v>462</v>
      </c>
      <c r="J46" t="str">
        <f t="shared" si="0"/>
        <v>	(44, 'CMR'),</v>
      </c>
    </row>
    <row r="47" spans="7:10">
      <c r="G47" s="12">
        <v>45</v>
      </c>
      <c r="H47" s="13" t="s">
        <v>358</v>
      </c>
      <c r="I47" s="15" t="s">
        <v>359</v>
      </c>
      <c r="J47" t="str">
        <f t="shared" si="0"/>
        <v>	(45, 'TUN'),</v>
      </c>
    </row>
    <row r="48" spans="7:10">
      <c r="G48" s="12">
        <v>46</v>
      </c>
      <c r="H48" s="13" t="s">
        <v>394</v>
      </c>
      <c r="I48" s="15" t="s">
        <v>395</v>
      </c>
      <c r="J48" t="str">
        <f t="shared" si="0"/>
        <v>	(46, 'COD'),</v>
      </c>
    </row>
    <row r="49" spans="7:10">
      <c r="G49" s="12">
        <v>47</v>
      </c>
      <c r="H49" s="13" t="s">
        <v>463</v>
      </c>
      <c r="I49" s="15" t="s">
        <v>464</v>
      </c>
      <c r="J49" t="str">
        <f t="shared" si="0"/>
        <v>	(47, 'SVK'),</v>
      </c>
    </row>
    <row r="50" spans="7:10">
      <c r="G50" s="12">
        <v>48</v>
      </c>
      <c r="H50" s="13" t="s">
        <v>465</v>
      </c>
      <c r="I50" s="15" t="s">
        <v>466</v>
      </c>
      <c r="J50" t="str">
        <f t="shared" si="0"/>
        <v>	(48, 'GRE'),</v>
      </c>
    </row>
    <row r="51" spans="7:10">
      <c r="G51" s="12">
        <v>49</v>
      </c>
      <c r="H51" s="13" t="s">
        <v>467</v>
      </c>
      <c r="I51" s="15" t="s">
        <v>468</v>
      </c>
      <c r="J51" t="str">
        <f t="shared" si="0"/>
        <v>	(49, 'VEN'),</v>
      </c>
    </row>
    <row r="52" spans="7:10">
      <c r="G52" s="12">
        <v>50</v>
      </c>
      <c r="H52" s="13" t="s">
        <v>404</v>
      </c>
      <c r="I52" s="15" t="s">
        <v>405</v>
      </c>
      <c r="J52" t="str">
        <f t="shared" si="0"/>
        <v>	(50, 'UZB'),</v>
      </c>
    </row>
    <row r="53" spans="7:10">
      <c r="G53" s="12">
        <v>51</v>
      </c>
      <c r="H53" s="13" t="s">
        <v>469</v>
      </c>
      <c r="I53" s="15" t="s">
        <v>470</v>
      </c>
      <c r="J53" t="str">
        <f t="shared" si="0"/>
        <v>	(51, 'CHI'),</v>
      </c>
    </row>
    <row r="54" spans="7:10">
      <c r="G54" s="12">
        <v>52</v>
      </c>
      <c r="H54" s="13" t="s">
        <v>471</v>
      </c>
      <c r="I54" s="15" t="s">
        <v>472</v>
      </c>
      <c r="J54" t="str">
        <f t="shared" si="0"/>
        <v>	(52, 'PER'),</v>
      </c>
    </row>
    <row r="55" spans="7:10">
      <c r="G55" s="12">
        <v>53</v>
      </c>
      <c r="H55" s="13" t="s">
        <v>473</v>
      </c>
      <c r="I55" s="15" t="s">
        <v>474</v>
      </c>
      <c r="J55" t="str">
        <f t="shared" si="0"/>
        <v>	(53, 'CRC'),</v>
      </c>
    </row>
    <row r="56" spans="7:10">
      <c r="G56" s="12">
        <v>54</v>
      </c>
      <c r="H56" s="13" t="s">
        <v>475</v>
      </c>
      <c r="I56" s="15" t="s">
        <v>476</v>
      </c>
      <c r="J56" t="str">
        <f t="shared" si="0"/>
        <v>	(54, 'ROU'),</v>
      </c>
    </row>
    <row r="57" spans="7:10">
      <c r="G57" s="12">
        <v>55</v>
      </c>
      <c r="H57" s="13" t="s">
        <v>477</v>
      </c>
      <c r="I57" s="15" t="s">
        <v>478</v>
      </c>
      <c r="J57" t="str">
        <f t="shared" si="0"/>
        <v>	(55, 'MLI'),</v>
      </c>
    </row>
    <row r="58" spans="7:10">
      <c r="G58" s="12">
        <v>56</v>
      </c>
      <c r="H58" s="13" t="s">
        <v>327</v>
      </c>
      <c r="I58" s="15" t="s">
        <v>328</v>
      </c>
      <c r="J58" t="str">
        <f t="shared" si="0"/>
        <v>	(56, 'QAT'),</v>
      </c>
    </row>
    <row r="59" spans="7:10">
      <c r="G59" s="12">
        <v>57</v>
      </c>
      <c r="H59" s="13" t="s">
        <v>380</v>
      </c>
      <c r="I59" s="15" t="s">
        <v>381</v>
      </c>
      <c r="J59" t="str">
        <f t="shared" si="0"/>
        <v>	(57, 'IRQ'),</v>
      </c>
    </row>
    <row r="60" spans="7:10">
      <c r="G60" s="12">
        <v>58</v>
      </c>
      <c r="H60" s="13" t="s">
        <v>479</v>
      </c>
      <c r="I60" s="15" t="s">
        <v>480</v>
      </c>
      <c r="J60" t="str">
        <f t="shared" si="0"/>
        <v>	(58, 'IRL'),</v>
      </c>
    </row>
    <row r="61" spans="7:10">
      <c r="G61" s="12">
        <v>59</v>
      </c>
      <c r="H61" s="13" t="s">
        <v>481</v>
      </c>
      <c r="I61" s="15" t="s">
        <v>482</v>
      </c>
      <c r="J61" t="str">
        <f t="shared" si="0"/>
        <v>	(59, 'SVN'),</v>
      </c>
    </row>
    <row r="62" spans="7:10">
      <c r="G62" s="12">
        <v>60</v>
      </c>
      <c r="H62" s="13" t="s">
        <v>304</v>
      </c>
      <c r="I62" s="15" t="s">
        <v>305</v>
      </c>
      <c r="J62" t="str">
        <f t="shared" si="0"/>
        <v>	(60, 'RSA'),</v>
      </c>
    </row>
    <row r="63" spans="7:10">
      <c r="G63" s="12">
        <v>61</v>
      </c>
      <c r="H63" s="13" t="s">
        <v>368</v>
      </c>
      <c r="I63" s="15" t="s">
        <v>369</v>
      </c>
      <c r="J63" t="str">
        <f t="shared" si="0"/>
        <v>	(61, 'KSA'),</v>
      </c>
    </row>
    <row r="64" spans="7:10">
      <c r="G64" s="12">
        <v>62</v>
      </c>
      <c r="H64" s="13" t="s">
        <v>483</v>
      </c>
      <c r="I64" s="15" t="s">
        <v>484</v>
      </c>
      <c r="J64" t="str">
        <f t="shared" si="0"/>
        <v>	(62, 'BFA'),</v>
      </c>
    </row>
    <row r="65" spans="7:10">
      <c r="G65" s="12">
        <v>63</v>
      </c>
      <c r="H65" s="13" t="s">
        <v>390</v>
      </c>
      <c r="I65" s="15" t="s">
        <v>391</v>
      </c>
      <c r="J65" t="str">
        <f t="shared" si="0"/>
        <v>	(63, 'JOR'),</v>
      </c>
    </row>
    <row r="66" spans="7:10">
      <c r="G66" s="12">
        <v>64</v>
      </c>
      <c r="H66" s="13" t="s">
        <v>316</v>
      </c>
      <c r="I66" s="15" t="s">
        <v>317</v>
      </c>
      <c r="J66" t="str">
        <f t="shared" si="0"/>
        <v>	(64, 'BIH'),</v>
      </c>
    </row>
    <row r="67" spans="7:10">
      <c r="G67" s="12">
        <v>65</v>
      </c>
      <c r="H67" s="13" t="s">
        <v>485</v>
      </c>
      <c r="I67" s="15" t="s">
        <v>486</v>
      </c>
      <c r="J67" t="str">
        <f t="shared" ref="J67:J130" si="1">CHAR(9)&amp;"("&amp;G67&amp;", '"&amp;H67&amp;"'),"</f>
        <v>	(65, 'HON'),</v>
      </c>
    </row>
    <row r="68" spans="7:10">
      <c r="G68" s="12">
        <v>66</v>
      </c>
      <c r="H68" s="13" t="s">
        <v>487</v>
      </c>
      <c r="I68" s="15" t="s">
        <v>488</v>
      </c>
      <c r="J68" t="str">
        <f t="shared" si="1"/>
        <v>	(66, 'ALB'),</v>
      </c>
    </row>
    <row r="69" spans="7:10">
      <c r="G69" s="12">
        <v>67</v>
      </c>
      <c r="H69" s="13" t="s">
        <v>362</v>
      </c>
      <c r="I69" s="15" t="s">
        <v>363</v>
      </c>
      <c r="J69" t="str">
        <f t="shared" si="1"/>
        <v>	(67, 'CPV'),</v>
      </c>
    </row>
    <row r="70" spans="7:10">
      <c r="G70" s="12">
        <v>68</v>
      </c>
      <c r="H70" s="13" t="s">
        <v>489</v>
      </c>
      <c r="I70" s="15" t="s">
        <v>490</v>
      </c>
      <c r="J70" t="str">
        <f t="shared" si="1"/>
        <v>	(68, 'UAE'),</v>
      </c>
    </row>
    <row r="71" spans="7:10">
      <c r="G71" s="12">
        <v>69</v>
      </c>
      <c r="H71" s="13" t="s">
        <v>491</v>
      </c>
      <c r="I71" s="15" t="s">
        <v>492</v>
      </c>
      <c r="J71" t="str">
        <f t="shared" si="1"/>
        <v>	(69, 'MKD'),</v>
      </c>
    </row>
    <row r="72" spans="7:10">
      <c r="G72" s="12">
        <v>70</v>
      </c>
      <c r="H72" s="13" t="s">
        <v>493</v>
      </c>
      <c r="I72" s="15" t="s">
        <v>494</v>
      </c>
      <c r="J72" t="str">
        <f t="shared" si="1"/>
        <v>	(70, 'NIR'),</v>
      </c>
    </row>
    <row r="73" spans="7:10">
      <c r="G73" s="12">
        <v>71</v>
      </c>
      <c r="H73" s="13" t="s">
        <v>495</v>
      </c>
      <c r="I73" s="15" t="s">
        <v>496</v>
      </c>
      <c r="J73" t="str">
        <f t="shared" si="1"/>
        <v>	(71, 'JAM'),</v>
      </c>
    </row>
    <row r="74" spans="7:10">
      <c r="G74" s="12">
        <v>72</v>
      </c>
      <c r="H74" s="13" t="s">
        <v>497</v>
      </c>
      <c r="I74" s="15" t="s">
        <v>498</v>
      </c>
      <c r="J74" t="str">
        <f t="shared" si="1"/>
        <v>	(72, 'GEO'),</v>
      </c>
    </row>
    <row r="75" spans="7:10">
      <c r="G75" s="12">
        <v>73</v>
      </c>
      <c r="H75" s="13" t="s">
        <v>400</v>
      </c>
      <c r="I75" s="15" t="s">
        <v>401</v>
      </c>
      <c r="J75" t="str">
        <f t="shared" si="1"/>
        <v>	(73, 'GHA'),</v>
      </c>
    </row>
    <row r="76" spans="7:10">
      <c r="G76" s="12">
        <v>74</v>
      </c>
      <c r="H76" s="13" t="s">
        <v>499</v>
      </c>
      <c r="I76" s="15" t="s">
        <v>500</v>
      </c>
      <c r="J76" t="str">
        <f t="shared" si="1"/>
        <v>	(74, 'ISL'),</v>
      </c>
    </row>
    <row r="77" spans="7:10">
      <c r="G77" s="12">
        <v>75</v>
      </c>
      <c r="H77" s="13" t="s">
        <v>501</v>
      </c>
      <c r="I77" s="15" t="s">
        <v>502</v>
      </c>
      <c r="J77" t="str">
        <f t="shared" si="1"/>
        <v>	(75, 'FIN'),</v>
      </c>
    </row>
    <row r="78" spans="7:10">
      <c r="G78" s="12">
        <v>76</v>
      </c>
      <c r="H78" s="13" t="s">
        <v>503</v>
      </c>
      <c r="I78" s="15" t="s">
        <v>504</v>
      </c>
      <c r="J78" t="str">
        <f t="shared" si="1"/>
        <v>	(76, 'ISR'),</v>
      </c>
    </row>
    <row r="79" spans="7:10">
      <c r="G79" s="12">
        <v>77</v>
      </c>
      <c r="H79" s="13" t="s">
        <v>505</v>
      </c>
      <c r="I79" s="15" t="s">
        <v>506</v>
      </c>
      <c r="J79" t="str">
        <f t="shared" si="1"/>
        <v>	(77, 'BOL'),</v>
      </c>
    </row>
    <row r="80" spans="7:10">
      <c r="G80" s="12">
        <v>78</v>
      </c>
      <c r="H80" s="13" t="s">
        <v>507</v>
      </c>
      <c r="I80" s="15" t="s">
        <v>508</v>
      </c>
      <c r="J80" t="str">
        <f t="shared" si="1"/>
        <v>	(78, 'KOS'),</v>
      </c>
    </row>
    <row r="81" spans="7:10">
      <c r="G81" s="12">
        <v>79</v>
      </c>
      <c r="H81" s="13" t="s">
        <v>509</v>
      </c>
      <c r="I81" s="15" t="s">
        <v>510</v>
      </c>
      <c r="J81" t="str">
        <f t="shared" si="1"/>
        <v>	(79, 'OMA'),</v>
      </c>
    </row>
    <row r="82" spans="7:10">
      <c r="G82" s="12">
        <v>80</v>
      </c>
      <c r="H82" s="13" t="s">
        <v>511</v>
      </c>
      <c r="I82" s="15" t="s">
        <v>512</v>
      </c>
      <c r="J82" t="str">
        <f t="shared" si="1"/>
        <v>	(80, 'MNE'),</v>
      </c>
    </row>
    <row r="83" spans="7:10">
      <c r="G83" s="12">
        <v>81</v>
      </c>
      <c r="H83" s="13" t="s">
        <v>513</v>
      </c>
      <c r="I83" s="15" t="s">
        <v>514</v>
      </c>
      <c r="J83" t="str">
        <f t="shared" si="1"/>
        <v>	(81, 'GUI'),</v>
      </c>
    </row>
    <row r="84" spans="7:10">
      <c r="G84" s="12">
        <v>82</v>
      </c>
      <c r="H84" s="13" t="s">
        <v>346</v>
      </c>
      <c r="I84" s="15" t="s">
        <v>347</v>
      </c>
      <c r="J84" t="str">
        <f t="shared" si="1"/>
        <v>	(82, 'CUW'),</v>
      </c>
    </row>
    <row r="85" spans="7:10">
      <c r="G85" s="12">
        <v>83</v>
      </c>
      <c r="H85" s="13" t="s">
        <v>336</v>
      </c>
      <c r="I85" s="15" t="s">
        <v>337</v>
      </c>
      <c r="J85" t="str">
        <f t="shared" si="1"/>
        <v>	(83, 'HAI'),</v>
      </c>
    </row>
    <row r="86" spans="7:10">
      <c r="G86" s="12">
        <v>84</v>
      </c>
      <c r="H86" s="13" t="s">
        <v>515</v>
      </c>
      <c r="I86" s="15" t="s">
        <v>516</v>
      </c>
      <c r="J86" t="str">
        <f t="shared" si="1"/>
        <v>	(84, 'SYR'),</v>
      </c>
    </row>
    <row r="87" spans="7:10">
      <c r="G87" s="12">
        <v>85</v>
      </c>
      <c r="H87" s="13" t="s">
        <v>374</v>
      </c>
      <c r="I87" s="15" t="s">
        <v>375</v>
      </c>
      <c r="J87" t="str">
        <f t="shared" si="1"/>
        <v>	(85, 'NZL'),</v>
      </c>
    </row>
    <row r="88" spans="7:10">
      <c r="G88" s="12">
        <v>86</v>
      </c>
      <c r="H88" s="13" t="s">
        <v>517</v>
      </c>
      <c r="I88" s="15" t="s">
        <v>518</v>
      </c>
      <c r="J88" t="str">
        <f t="shared" si="1"/>
        <v>	(86, 'GAB'),</v>
      </c>
    </row>
    <row r="89" spans="7:10">
      <c r="G89" s="12">
        <v>87</v>
      </c>
      <c r="H89" s="13" t="s">
        <v>519</v>
      </c>
      <c r="I89" s="15" t="s">
        <v>520</v>
      </c>
      <c r="J89" t="str">
        <f t="shared" si="1"/>
        <v>	(87, 'BUL'),</v>
      </c>
    </row>
    <row r="90" spans="7:10">
      <c r="G90" s="12">
        <v>88</v>
      </c>
      <c r="H90" s="13" t="s">
        <v>521</v>
      </c>
      <c r="I90" s="15" t="s">
        <v>522</v>
      </c>
      <c r="J90" t="str">
        <f t="shared" si="1"/>
        <v>	(88, 'ANG'),</v>
      </c>
    </row>
    <row r="91" spans="7:10">
      <c r="G91" s="12">
        <v>89</v>
      </c>
      <c r="H91" s="13" t="s">
        <v>523</v>
      </c>
      <c r="I91" s="15" t="s">
        <v>524</v>
      </c>
      <c r="J91" t="str">
        <f t="shared" si="1"/>
        <v>	(89, 'UGA'),</v>
      </c>
    </row>
    <row r="92" spans="7:10">
      <c r="G92" s="12">
        <v>90</v>
      </c>
      <c r="H92" s="13" t="s">
        <v>525</v>
      </c>
      <c r="I92" s="15" t="s">
        <v>526</v>
      </c>
      <c r="J92" t="str">
        <f t="shared" si="1"/>
        <v>	(90, 'ZAM'),</v>
      </c>
    </row>
    <row r="93" spans="7:10">
      <c r="G93" s="12">
        <v>91</v>
      </c>
      <c r="H93" s="13" t="s">
        <v>527</v>
      </c>
      <c r="I93" s="15" t="s">
        <v>528</v>
      </c>
      <c r="J93" t="str">
        <f t="shared" si="1"/>
        <v>	(91, 'CHN'),</v>
      </c>
    </row>
    <row r="94" spans="7:10">
      <c r="G94" s="12">
        <v>92</v>
      </c>
      <c r="H94" s="13" t="s">
        <v>529</v>
      </c>
      <c r="I94" s="15" t="s">
        <v>530</v>
      </c>
      <c r="J94" t="str">
        <f t="shared" si="1"/>
        <v>	(92, 'BHR'),</v>
      </c>
    </row>
    <row r="95" spans="7:10">
      <c r="G95" s="12">
        <v>93</v>
      </c>
      <c r="H95" s="13" t="s">
        <v>531</v>
      </c>
      <c r="I95" s="15" t="s">
        <v>532</v>
      </c>
      <c r="J95" t="str">
        <f t="shared" si="1"/>
        <v>	(93, 'BEN'),</v>
      </c>
    </row>
    <row r="96" spans="7:10">
      <c r="G96" s="12">
        <v>94</v>
      </c>
      <c r="H96" s="13" t="s">
        <v>533</v>
      </c>
      <c r="I96" s="15" t="s">
        <v>534</v>
      </c>
      <c r="J96" t="str">
        <f t="shared" si="1"/>
        <v>	(94, 'THA'),</v>
      </c>
    </row>
    <row r="97" spans="7:10">
      <c r="G97" s="12">
        <v>95</v>
      </c>
      <c r="H97" s="13" t="s">
        <v>535</v>
      </c>
      <c r="I97" s="15" t="s">
        <v>536</v>
      </c>
      <c r="J97" t="str">
        <f t="shared" si="1"/>
        <v>	(95, 'PSE'),</v>
      </c>
    </row>
    <row r="98" spans="7:10">
      <c r="G98" s="12">
        <v>96</v>
      </c>
      <c r="H98" s="13" t="s">
        <v>537</v>
      </c>
      <c r="I98" s="15" t="s">
        <v>538</v>
      </c>
      <c r="J98" t="str">
        <f t="shared" si="1"/>
        <v>	(96, 'BLR'),</v>
      </c>
    </row>
    <row r="99" spans="7:10">
      <c r="G99" s="12">
        <v>97</v>
      </c>
      <c r="H99" s="13" t="s">
        <v>539</v>
      </c>
      <c r="I99" s="15" t="s">
        <v>540</v>
      </c>
      <c r="J99" t="str">
        <f t="shared" si="1"/>
        <v>	(97, 'GUA'),</v>
      </c>
    </row>
    <row r="100" spans="7:10">
      <c r="G100" s="12">
        <v>98</v>
      </c>
      <c r="H100" s="13" t="s">
        <v>541</v>
      </c>
      <c r="I100" s="15" t="s">
        <v>542</v>
      </c>
      <c r="J100" t="str">
        <f t="shared" si="1"/>
        <v>	(98, 'LUX'),</v>
      </c>
    </row>
    <row r="101" spans="7:10">
      <c r="G101" s="12">
        <v>99</v>
      </c>
      <c r="H101" s="13" t="s">
        <v>543</v>
      </c>
      <c r="I101" s="15" t="s">
        <v>544</v>
      </c>
      <c r="J101" t="str">
        <f t="shared" si="1"/>
        <v>	(99, 'VIE'),</v>
      </c>
    </row>
    <row r="102" spans="7:10">
      <c r="G102" s="12">
        <v>100</v>
      </c>
      <c r="H102" s="13" t="s">
        <v>545</v>
      </c>
      <c r="I102" s="15" t="s">
        <v>546</v>
      </c>
      <c r="J102" t="str">
        <f t="shared" si="1"/>
        <v>	(100, 'SLV'),</v>
      </c>
    </row>
    <row r="103" spans="7:10">
      <c r="G103" s="12">
        <v>101</v>
      </c>
      <c r="H103" s="13" t="s">
        <v>547</v>
      </c>
      <c r="I103" s="15" t="s">
        <v>548</v>
      </c>
      <c r="J103" t="str">
        <f t="shared" si="1"/>
        <v>	(101, 'TJK'),</v>
      </c>
    </row>
    <row r="104" spans="7:10">
      <c r="G104" s="12">
        <v>102</v>
      </c>
      <c r="H104" s="13" t="s">
        <v>549</v>
      </c>
      <c r="I104" s="15" t="s">
        <v>550</v>
      </c>
      <c r="J104" t="str">
        <f t="shared" si="1"/>
        <v>	(102, 'TRI'),</v>
      </c>
    </row>
    <row r="105" spans="7:10">
      <c r="G105" s="12">
        <v>103</v>
      </c>
      <c r="H105" s="13" t="s">
        <v>551</v>
      </c>
      <c r="I105" s="15" t="s">
        <v>552</v>
      </c>
      <c r="J105" t="str">
        <f t="shared" si="1"/>
        <v>	(103, 'MOZ'),</v>
      </c>
    </row>
    <row r="106" spans="7:10">
      <c r="G106" s="12">
        <v>104</v>
      </c>
      <c r="H106" s="13" t="s">
        <v>553</v>
      </c>
      <c r="I106" s="15" t="s">
        <v>554</v>
      </c>
      <c r="J106" t="str">
        <f t="shared" si="1"/>
        <v>	(104, 'MAD'),</v>
      </c>
    </row>
    <row r="107" spans="7:10">
      <c r="G107" s="12">
        <v>105</v>
      </c>
      <c r="H107" s="13" t="s">
        <v>555</v>
      </c>
      <c r="I107" s="15" t="s">
        <v>556</v>
      </c>
      <c r="J107" t="str">
        <f t="shared" si="1"/>
        <v>	(105, 'EQG'),</v>
      </c>
    </row>
    <row r="108" spans="7:10">
      <c r="G108" s="12">
        <v>106</v>
      </c>
      <c r="H108" s="13" t="s">
        <v>557</v>
      </c>
      <c r="I108" s="15" t="s">
        <v>558</v>
      </c>
      <c r="J108" t="str">
        <f t="shared" si="1"/>
        <v>	(106, 'KGZ'),</v>
      </c>
    </row>
    <row r="109" spans="7:10">
      <c r="G109" s="12">
        <v>107</v>
      </c>
      <c r="H109" s="13" t="s">
        <v>559</v>
      </c>
      <c r="I109" s="15" t="s">
        <v>560</v>
      </c>
      <c r="J109" t="str">
        <f t="shared" si="1"/>
        <v>	(107, 'ARM'),</v>
      </c>
    </row>
    <row r="110" spans="7:10">
      <c r="G110" s="12">
        <v>108</v>
      </c>
      <c r="H110" s="13" t="s">
        <v>561</v>
      </c>
      <c r="I110" s="15" t="s">
        <v>562</v>
      </c>
      <c r="J110" t="str">
        <f t="shared" si="1"/>
        <v>	(108, 'COM'),</v>
      </c>
    </row>
    <row r="111" spans="7:10">
      <c r="G111" s="12">
        <v>109</v>
      </c>
      <c r="H111" s="13" t="s">
        <v>563</v>
      </c>
      <c r="I111" s="15" t="s">
        <v>564</v>
      </c>
      <c r="J111" t="str">
        <f t="shared" si="1"/>
        <v>	(109, 'KEN'),</v>
      </c>
    </row>
    <row r="112" spans="7:10">
      <c r="G112" s="12">
        <v>110</v>
      </c>
      <c r="H112" s="13" t="s">
        <v>565</v>
      </c>
      <c r="I112" s="15" t="s">
        <v>566</v>
      </c>
      <c r="J112" t="str">
        <f t="shared" si="1"/>
        <v>	(110, 'LBY'),</v>
      </c>
    </row>
    <row r="113" spans="7:10">
      <c r="G113" s="12">
        <v>111</v>
      </c>
      <c r="H113" s="13" t="s">
        <v>567</v>
      </c>
      <c r="I113" s="15" t="s">
        <v>568</v>
      </c>
      <c r="J113" t="str">
        <f t="shared" si="1"/>
        <v>	(111, 'KAZ'),</v>
      </c>
    </row>
    <row r="114" spans="7:10">
      <c r="G114" s="12">
        <v>112</v>
      </c>
      <c r="H114" s="13" t="s">
        <v>569</v>
      </c>
      <c r="I114" s="15" t="s">
        <v>570</v>
      </c>
      <c r="J114" t="str">
        <f t="shared" si="1"/>
        <v>	(112, 'TAN'),</v>
      </c>
    </row>
    <row r="115" spans="7:10">
      <c r="G115" s="12">
        <v>113</v>
      </c>
      <c r="H115" s="13" t="s">
        <v>571</v>
      </c>
      <c r="I115" s="15" t="s">
        <v>572</v>
      </c>
      <c r="J115" t="str">
        <f t="shared" si="1"/>
        <v>	(113, 'MTN'),</v>
      </c>
    </row>
    <row r="116" spans="7:10">
      <c r="G116" s="12">
        <v>114</v>
      </c>
      <c r="H116" s="13" t="s">
        <v>573</v>
      </c>
      <c r="I116" s="15" t="s">
        <v>574</v>
      </c>
      <c r="J116" t="str">
        <f t="shared" si="1"/>
        <v>	(114, 'NER'),</v>
      </c>
    </row>
    <row r="117" spans="7:10">
      <c r="G117" s="12">
        <v>115</v>
      </c>
      <c r="H117" s="13" t="s">
        <v>575</v>
      </c>
      <c r="I117" s="15" t="s">
        <v>576</v>
      </c>
      <c r="J117" t="str">
        <f t="shared" si="1"/>
        <v>	(115, 'LBN'),</v>
      </c>
    </row>
    <row r="118" spans="7:10">
      <c r="G118" s="12">
        <v>116</v>
      </c>
      <c r="H118" s="13" t="s">
        <v>577</v>
      </c>
      <c r="I118" s="15" t="s">
        <v>578</v>
      </c>
      <c r="J118" t="str">
        <f t="shared" si="1"/>
        <v>	(116, 'GAM'),</v>
      </c>
    </row>
    <row r="119" spans="7:10">
      <c r="G119" s="12">
        <v>117</v>
      </c>
      <c r="H119" s="13" t="s">
        <v>579</v>
      </c>
      <c r="I119" s="15" t="s">
        <v>580</v>
      </c>
      <c r="J119" t="str">
        <f t="shared" si="1"/>
        <v>	(117, 'SDN'),</v>
      </c>
    </row>
    <row r="120" spans="7:10">
      <c r="G120" s="12">
        <v>118</v>
      </c>
      <c r="H120" s="13" t="s">
        <v>581</v>
      </c>
      <c r="I120" s="15" t="s">
        <v>582</v>
      </c>
      <c r="J120" t="str">
        <f t="shared" si="1"/>
        <v>	(118, 'IDN'),</v>
      </c>
    </row>
    <row r="121" spans="7:10">
      <c r="G121" s="12">
        <v>119</v>
      </c>
      <c r="H121" s="13" t="s">
        <v>583</v>
      </c>
      <c r="I121" s="15" t="s">
        <v>584</v>
      </c>
      <c r="J121" t="str">
        <f t="shared" si="1"/>
        <v>	(119, 'TOG'),</v>
      </c>
    </row>
    <row r="122" spans="7:10">
      <c r="G122" s="12">
        <v>120</v>
      </c>
      <c r="H122" s="13" t="s">
        <v>585</v>
      </c>
      <c r="I122" s="15" t="s">
        <v>586</v>
      </c>
      <c r="J122" t="str">
        <f t="shared" si="1"/>
        <v>	(120, 'PRK'),</v>
      </c>
    </row>
    <row r="123" spans="7:10">
      <c r="G123" s="12">
        <v>121</v>
      </c>
      <c r="H123" s="13" t="s">
        <v>587</v>
      </c>
      <c r="I123" s="15" t="s">
        <v>588</v>
      </c>
      <c r="J123" t="str">
        <f t="shared" si="1"/>
        <v>	(121, 'NAM'),</v>
      </c>
    </row>
    <row r="124" spans="7:10">
      <c r="G124" s="12">
        <v>122</v>
      </c>
      <c r="H124" s="13" t="s">
        <v>589</v>
      </c>
      <c r="I124" s="15" t="s">
        <v>590</v>
      </c>
      <c r="J124" t="str">
        <f t="shared" si="1"/>
        <v>	(122, 'SLE'),</v>
      </c>
    </row>
    <row r="125" spans="7:10">
      <c r="G125" s="12">
        <v>123</v>
      </c>
      <c r="H125" s="13" t="s">
        <v>591</v>
      </c>
      <c r="I125" s="15" t="s">
        <v>592</v>
      </c>
      <c r="J125" t="str">
        <f t="shared" si="1"/>
        <v>	(123, 'FRO'),</v>
      </c>
    </row>
    <row r="126" spans="7:10">
      <c r="G126" s="12">
        <v>124</v>
      </c>
      <c r="H126" s="13" t="s">
        <v>593</v>
      </c>
      <c r="I126" s="15" t="s">
        <v>594</v>
      </c>
      <c r="J126" t="str">
        <f t="shared" si="1"/>
        <v>	(124, 'CYP'),</v>
      </c>
    </row>
    <row r="127" spans="7:10">
      <c r="G127" s="12">
        <v>125</v>
      </c>
      <c r="H127" s="13" t="s">
        <v>595</v>
      </c>
      <c r="I127" s="15" t="s">
        <v>596</v>
      </c>
      <c r="J127" t="str">
        <f t="shared" si="1"/>
        <v>	(125, 'SUR'),</v>
      </c>
    </row>
    <row r="128" spans="7:10">
      <c r="G128" s="12">
        <v>126</v>
      </c>
      <c r="H128" s="13" t="s">
        <v>597</v>
      </c>
      <c r="I128" s="15" t="s">
        <v>598</v>
      </c>
      <c r="J128" t="str">
        <f t="shared" si="1"/>
        <v>	(126, 'AZE'),</v>
      </c>
    </row>
    <row r="129" spans="7:10">
      <c r="G129" s="12">
        <v>127</v>
      </c>
      <c r="H129" s="13" t="s">
        <v>599</v>
      </c>
      <c r="I129" s="15" t="s">
        <v>600</v>
      </c>
      <c r="J129" t="str">
        <f t="shared" si="1"/>
        <v>	(127, 'EST'),</v>
      </c>
    </row>
    <row r="130" spans="7:10">
      <c r="G130" s="12">
        <v>128</v>
      </c>
      <c r="H130" s="13" t="s">
        <v>601</v>
      </c>
      <c r="I130" s="15" t="s">
        <v>602</v>
      </c>
      <c r="J130" t="str">
        <f t="shared" si="1"/>
        <v>	(128, 'RWA'),</v>
      </c>
    </row>
    <row r="131" spans="7:10">
      <c r="G131" s="12">
        <v>129</v>
      </c>
      <c r="H131" s="13" t="s">
        <v>603</v>
      </c>
      <c r="I131" s="15" t="s">
        <v>604</v>
      </c>
      <c r="J131" t="str">
        <f t="shared" ref="J131:J194" si="2">CHAR(9)&amp;"("&amp;G131&amp;", '"&amp;H131&amp;"'),"</f>
        <v>	(129, 'MWI'),</v>
      </c>
    </row>
    <row r="132" spans="7:10">
      <c r="G132" s="12">
        <v>130</v>
      </c>
      <c r="H132" s="13" t="s">
        <v>605</v>
      </c>
      <c r="I132" s="15" t="s">
        <v>606</v>
      </c>
      <c r="J132" t="str">
        <f t="shared" si="2"/>
        <v>	(130, 'ZIM'),</v>
      </c>
    </row>
    <row r="133" spans="7:10">
      <c r="G133" s="12">
        <v>131</v>
      </c>
      <c r="H133" s="13" t="s">
        <v>607</v>
      </c>
      <c r="I133" s="15" t="s">
        <v>608</v>
      </c>
      <c r="J133" t="str">
        <f t="shared" si="2"/>
        <v>	(131, 'NCA'),</v>
      </c>
    </row>
    <row r="134" spans="7:10">
      <c r="G134" s="12">
        <v>132</v>
      </c>
      <c r="H134" s="13" t="s">
        <v>609</v>
      </c>
      <c r="I134" s="15" t="s">
        <v>610</v>
      </c>
      <c r="J134" t="str">
        <f t="shared" si="2"/>
        <v>	(132, 'GNB'),</v>
      </c>
    </row>
    <row r="135" spans="7:10">
      <c r="G135" s="12">
        <v>133</v>
      </c>
      <c r="H135" s="13" t="s">
        <v>611</v>
      </c>
      <c r="I135" s="15" t="s">
        <v>612</v>
      </c>
      <c r="J135" t="str">
        <f t="shared" si="2"/>
        <v>	(133, 'KUW'),</v>
      </c>
    </row>
    <row r="136" spans="7:10">
      <c r="G136" s="12">
        <v>134</v>
      </c>
      <c r="H136" s="13" t="s">
        <v>613</v>
      </c>
      <c r="I136" s="15" t="s">
        <v>614</v>
      </c>
      <c r="J136" t="str">
        <f t="shared" si="2"/>
        <v>	(134, 'CGO'),</v>
      </c>
    </row>
    <row r="137" spans="7:10">
      <c r="G137" s="12">
        <v>135</v>
      </c>
      <c r="H137" s="13" t="s">
        <v>615</v>
      </c>
      <c r="I137" s="15" t="s">
        <v>616</v>
      </c>
      <c r="J137" t="str">
        <f t="shared" si="2"/>
        <v>	(135, 'PHI'),</v>
      </c>
    </row>
    <row r="138" spans="7:10">
      <c r="G138" s="12">
        <v>136</v>
      </c>
      <c r="H138" s="13" t="s">
        <v>617</v>
      </c>
      <c r="I138" s="15" t="s">
        <v>618</v>
      </c>
      <c r="J138" t="str">
        <f t="shared" si="2"/>
        <v>	(136, 'MAS'),</v>
      </c>
    </row>
    <row r="139" spans="7:10">
      <c r="G139" s="12">
        <v>137</v>
      </c>
      <c r="H139" s="13" t="s">
        <v>619</v>
      </c>
      <c r="I139" s="15" t="s">
        <v>620</v>
      </c>
      <c r="J139" t="str">
        <f t="shared" si="2"/>
        <v>	(137, 'LVA'),</v>
      </c>
    </row>
    <row r="140" spans="7:10">
      <c r="G140" s="12">
        <v>138</v>
      </c>
      <c r="H140" s="13" t="s">
        <v>621</v>
      </c>
      <c r="I140" s="15" t="s">
        <v>622</v>
      </c>
      <c r="J140" t="str">
        <f t="shared" si="2"/>
        <v>	(138, 'IND'),</v>
      </c>
    </row>
    <row r="141" spans="7:10">
      <c r="G141" s="12">
        <v>139</v>
      </c>
      <c r="H141" s="13" t="s">
        <v>623</v>
      </c>
      <c r="I141" s="15" t="s">
        <v>624</v>
      </c>
      <c r="J141" t="str">
        <f t="shared" si="2"/>
        <v>	(139, 'CTA'),</v>
      </c>
    </row>
    <row r="142" spans="7:10">
      <c r="G142" s="12">
        <v>140</v>
      </c>
      <c r="H142" s="13" t="s">
        <v>625</v>
      </c>
      <c r="I142" s="15" t="s">
        <v>626</v>
      </c>
      <c r="J142" t="str">
        <f t="shared" si="2"/>
        <v>	(140, 'LBR'),</v>
      </c>
    </row>
    <row r="143" spans="7:10">
      <c r="G143" s="12">
        <v>141</v>
      </c>
      <c r="H143" s="13" t="s">
        <v>627</v>
      </c>
      <c r="I143" s="15" t="s">
        <v>628</v>
      </c>
      <c r="J143" t="str">
        <f t="shared" si="2"/>
        <v>	(141, 'TKM'),</v>
      </c>
    </row>
    <row r="144" spans="7:10">
      <c r="G144" s="12">
        <v>142</v>
      </c>
      <c r="H144" s="13" t="s">
        <v>629</v>
      </c>
      <c r="I144" s="15" t="s">
        <v>630</v>
      </c>
      <c r="J144" t="str">
        <f t="shared" si="2"/>
        <v>	(142, 'BDI'),</v>
      </c>
    </row>
    <row r="145" spans="7:10">
      <c r="G145" s="12">
        <v>143</v>
      </c>
      <c r="H145" s="13" t="s">
        <v>631</v>
      </c>
      <c r="I145" s="15" t="s">
        <v>632</v>
      </c>
      <c r="J145" t="str">
        <f t="shared" si="2"/>
        <v>	(143, 'ETH'),</v>
      </c>
    </row>
    <row r="146" spans="7:10">
      <c r="G146" s="12">
        <v>144</v>
      </c>
      <c r="H146" s="13" t="s">
        <v>633</v>
      </c>
      <c r="I146" s="15" t="s">
        <v>634</v>
      </c>
      <c r="J146" t="str">
        <f t="shared" si="2"/>
        <v>	(144, 'DOM'),</v>
      </c>
    </row>
    <row r="147" spans="7:10">
      <c r="G147" s="12">
        <v>145</v>
      </c>
      <c r="H147" s="13" t="s">
        <v>635</v>
      </c>
      <c r="I147" s="15" t="s">
        <v>636</v>
      </c>
      <c r="J147" t="str">
        <f t="shared" si="2"/>
        <v>	(145, 'YEM'),</v>
      </c>
    </row>
    <row r="148" spans="7:10">
      <c r="G148" s="12">
        <v>146</v>
      </c>
      <c r="H148" s="13" t="s">
        <v>637</v>
      </c>
      <c r="I148" s="15" t="s">
        <v>638</v>
      </c>
      <c r="J148" t="str">
        <f t="shared" si="2"/>
        <v>	(146, 'LES'),</v>
      </c>
    </row>
    <row r="149" spans="7:10">
      <c r="G149" s="12">
        <v>147</v>
      </c>
      <c r="H149" s="13" t="s">
        <v>639</v>
      </c>
      <c r="I149" s="15" t="s">
        <v>640</v>
      </c>
      <c r="J149" t="str">
        <f t="shared" si="2"/>
        <v>	(147, 'BOT'),</v>
      </c>
    </row>
    <row r="150" spans="7:10">
      <c r="G150" s="12">
        <v>148</v>
      </c>
      <c r="H150" s="13" t="s">
        <v>641</v>
      </c>
      <c r="I150" s="15" t="s">
        <v>642</v>
      </c>
      <c r="J150" t="str">
        <f t="shared" si="2"/>
        <v>	(148, 'SIN'),</v>
      </c>
    </row>
    <row r="151" spans="7:10">
      <c r="G151" s="12">
        <v>149</v>
      </c>
      <c r="H151" s="13" t="s">
        <v>643</v>
      </c>
      <c r="I151" s="15" t="s">
        <v>644</v>
      </c>
      <c r="J151" t="str">
        <f t="shared" si="2"/>
        <v>	(149, 'LTU'),</v>
      </c>
    </row>
    <row r="152" spans="7:10">
      <c r="G152" s="12">
        <v>150</v>
      </c>
      <c r="H152" s="13" t="s">
        <v>645</v>
      </c>
      <c r="I152" s="15" t="s">
        <v>646</v>
      </c>
      <c r="J152" t="str">
        <f t="shared" si="2"/>
        <v>	(150, 'GUY'),</v>
      </c>
    </row>
    <row r="153" spans="7:10">
      <c r="G153" s="12">
        <v>151</v>
      </c>
      <c r="H153" s="13" t="s">
        <v>647</v>
      </c>
      <c r="I153" s="15" t="s">
        <v>648</v>
      </c>
      <c r="J153" t="str">
        <f t="shared" si="2"/>
        <v>	(151, 'NCL'),</v>
      </c>
    </row>
    <row r="154" spans="7:10">
      <c r="G154" s="12">
        <v>152</v>
      </c>
      <c r="H154" s="13" t="s">
        <v>649</v>
      </c>
      <c r="I154" s="15" t="s">
        <v>650</v>
      </c>
      <c r="J154" t="str">
        <f t="shared" si="2"/>
        <v>	(152, 'KNA'),</v>
      </c>
    </row>
    <row r="155" spans="7:10">
      <c r="G155" s="12">
        <v>153</v>
      </c>
      <c r="H155" s="13" t="s">
        <v>651</v>
      </c>
      <c r="I155" s="15" t="s">
        <v>652</v>
      </c>
      <c r="J155" t="str">
        <f t="shared" si="2"/>
        <v>	(153, 'SOL'),</v>
      </c>
    </row>
    <row r="156" spans="7:10">
      <c r="G156" s="12">
        <v>154</v>
      </c>
      <c r="H156" s="13" t="s">
        <v>653</v>
      </c>
      <c r="I156" s="15" t="s">
        <v>654</v>
      </c>
      <c r="J156" t="str">
        <f t="shared" si="2"/>
        <v>	(154, 'PUR'),</v>
      </c>
    </row>
    <row r="157" spans="7:10">
      <c r="G157" s="12">
        <v>155</v>
      </c>
      <c r="H157" s="13" t="s">
        <v>655</v>
      </c>
      <c r="I157" s="15" t="s">
        <v>656</v>
      </c>
      <c r="J157" t="str">
        <f t="shared" si="2"/>
        <v>	(155, 'FIJ'),</v>
      </c>
    </row>
    <row r="158" spans="7:10">
      <c r="G158" s="12">
        <v>156</v>
      </c>
      <c r="H158" s="13" t="s">
        <v>657</v>
      </c>
      <c r="I158" s="15" t="s">
        <v>658</v>
      </c>
      <c r="J158" t="str">
        <f t="shared" si="2"/>
        <v>	(156, 'HKG'),</v>
      </c>
    </row>
    <row r="159" spans="7:10">
      <c r="G159" s="12">
        <v>157</v>
      </c>
      <c r="H159" s="13" t="s">
        <v>659</v>
      </c>
      <c r="I159" s="15" t="s">
        <v>660</v>
      </c>
      <c r="J159" t="str">
        <f t="shared" si="2"/>
        <v>	(157, 'TAH'),</v>
      </c>
    </row>
    <row r="160" spans="7:10">
      <c r="G160" s="12">
        <v>158</v>
      </c>
      <c r="H160" s="13" t="s">
        <v>661</v>
      </c>
      <c r="I160" s="15" t="s">
        <v>662</v>
      </c>
      <c r="J160" t="str">
        <f t="shared" si="2"/>
        <v>	(158, 'MYA'),</v>
      </c>
    </row>
    <row r="161" spans="7:10">
      <c r="G161" s="12">
        <v>159</v>
      </c>
      <c r="H161" s="13" t="s">
        <v>663</v>
      </c>
      <c r="I161" s="15" t="s">
        <v>664</v>
      </c>
      <c r="J161" t="str">
        <f t="shared" si="2"/>
        <v>	(159, 'MDA'),</v>
      </c>
    </row>
    <row r="162" spans="7:10">
      <c r="G162" s="12">
        <v>160</v>
      </c>
      <c r="H162" s="13" t="s">
        <v>665</v>
      </c>
      <c r="I162" s="15" t="s">
        <v>666</v>
      </c>
      <c r="J162" t="str">
        <f t="shared" si="2"/>
        <v>	(160, 'VAN'),</v>
      </c>
    </row>
    <row r="163" spans="7:10">
      <c r="G163" s="12">
        <v>161</v>
      </c>
      <c r="H163" s="13" t="s">
        <v>667</v>
      </c>
      <c r="I163" s="15" t="s">
        <v>668</v>
      </c>
      <c r="J163" t="str">
        <f t="shared" si="2"/>
        <v>	(161, 'MLT'),</v>
      </c>
    </row>
    <row r="164" spans="7:10">
      <c r="G164" s="12">
        <v>162</v>
      </c>
      <c r="H164" s="13" t="s">
        <v>669</v>
      </c>
      <c r="I164" s="15" t="s">
        <v>670</v>
      </c>
      <c r="J164" t="str">
        <f t="shared" si="2"/>
        <v>	(162, 'ATG'),</v>
      </c>
    </row>
    <row r="165" spans="7:10">
      <c r="G165" s="12">
        <v>163</v>
      </c>
      <c r="H165" s="13" t="s">
        <v>671</v>
      </c>
      <c r="I165" s="15" t="s">
        <v>672</v>
      </c>
      <c r="J165" t="str">
        <f t="shared" si="2"/>
        <v>	(163, 'GRN'),</v>
      </c>
    </row>
    <row r="166" spans="7:10">
      <c r="G166" s="12">
        <v>164</v>
      </c>
      <c r="H166" s="13" t="s">
        <v>673</v>
      </c>
      <c r="I166" s="15" t="s">
        <v>674</v>
      </c>
      <c r="J166" t="str">
        <f t="shared" si="2"/>
        <v>	(164, 'CUB'),</v>
      </c>
    </row>
    <row r="167" spans="7:10">
      <c r="G167" s="12">
        <v>165</v>
      </c>
      <c r="H167" s="13" t="s">
        <v>675</v>
      </c>
      <c r="I167" s="15" t="s">
        <v>676</v>
      </c>
      <c r="J167" t="str">
        <f t="shared" si="2"/>
        <v>	(165, 'SWZ'),</v>
      </c>
    </row>
    <row r="168" spans="7:10">
      <c r="G168" s="12">
        <v>166</v>
      </c>
      <c r="H168" s="13" t="s">
        <v>677</v>
      </c>
      <c r="I168" s="15" t="s">
        <v>678</v>
      </c>
      <c r="J168" t="str">
        <f t="shared" si="2"/>
        <v>	(166, 'LCA'),</v>
      </c>
    </row>
    <row r="169" spans="7:10">
      <c r="G169" s="12">
        <v>167</v>
      </c>
      <c r="H169" s="13" t="s">
        <v>679</v>
      </c>
      <c r="I169" s="15" t="s">
        <v>680</v>
      </c>
      <c r="J169" t="str">
        <f t="shared" si="2"/>
        <v>	(167, 'BMU'),</v>
      </c>
    </row>
    <row r="170" spans="7:10">
      <c r="G170" s="12">
        <v>168</v>
      </c>
      <c r="H170" s="13" t="s">
        <v>681</v>
      </c>
      <c r="I170" s="15" t="s">
        <v>682</v>
      </c>
      <c r="J170" t="str">
        <f t="shared" si="2"/>
        <v>	(168, 'PNG'),</v>
      </c>
    </row>
    <row r="171" spans="7:10">
      <c r="G171" s="12">
        <v>169</v>
      </c>
      <c r="H171" s="13" t="s">
        <v>683</v>
      </c>
      <c r="I171" s="15" t="s">
        <v>684</v>
      </c>
      <c r="J171" t="str">
        <f t="shared" si="2"/>
        <v>	(169, 'SSD'),</v>
      </c>
    </row>
    <row r="172" spans="7:10">
      <c r="G172" s="12">
        <v>170</v>
      </c>
      <c r="H172" s="13" t="s">
        <v>685</v>
      </c>
      <c r="I172" s="15" t="s">
        <v>686</v>
      </c>
      <c r="J172" t="str">
        <f t="shared" si="2"/>
        <v>	(170, 'VCT'),</v>
      </c>
    </row>
    <row r="173" spans="7:10">
      <c r="G173" s="12">
        <v>171</v>
      </c>
      <c r="H173" s="13" t="s">
        <v>687</v>
      </c>
      <c r="I173" s="15" t="s">
        <v>688</v>
      </c>
      <c r="J173" t="str">
        <f t="shared" si="2"/>
        <v>	(171, 'AFG'),</v>
      </c>
    </row>
    <row r="174" spans="7:10">
      <c r="G174" s="12">
        <v>172</v>
      </c>
      <c r="H174" s="13" t="s">
        <v>689</v>
      </c>
      <c r="I174" s="15" t="s">
        <v>690</v>
      </c>
      <c r="J174" t="str">
        <f t="shared" si="2"/>
        <v>	(172, 'AND'),</v>
      </c>
    </row>
    <row r="175" spans="7:10">
      <c r="G175" s="12">
        <v>173</v>
      </c>
      <c r="H175" s="13" t="s">
        <v>691</v>
      </c>
      <c r="I175" s="15" t="s">
        <v>692</v>
      </c>
      <c r="J175" t="str">
        <f t="shared" si="2"/>
        <v>	(173, 'MDV'),</v>
      </c>
    </row>
    <row r="176" spans="7:10">
      <c r="G176" s="12">
        <v>174</v>
      </c>
      <c r="H176" s="13" t="s">
        <v>693</v>
      </c>
      <c r="I176" s="15" t="s">
        <v>694</v>
      </c>
      <c r="J176" t="str">
        <f t="shared" si="2"/>
        <v>	(174, 'TPE'),</v>
      </c>
    </row>
    <row r="177" spans="7:10">
      <c r="G177" s="12">
        <v>175</v>
      </c>
      <c r="H177" s="13" t="s">
        <v>695</v>
      </c>
      <c r="I177" s="15" t="s">
        <v>696</v>
      </c>
      <c r="J177" t="str">
        <f t="shared" si="2"/>
        <v>	(175, 'CAM'),</v>
      </c>
    </row>
    <row r="178" spans="7:10">
      <c r="G178" s="12">
        <v>176</v>
      </c>
      <c r="H178" s="13" t="s">
        <v>697</v>
      </c>
      <c r="I178" s="15" t="s">
        <v>698</v>
      </c>
      <c r="J178" t="str">
        <f t="shared" si="2"/>
        <v>	(176, 'MSR'),</v>
      </c>
    </row>
    <row r="179" spans="7:10">
      <c r="G179" s="12">
        <v>177</v>
      </c>
      <c r="H179" s="13" t="s">
        <v>699</v>
      </c>
      <c r="I179" s="15" t="s">
        <v>700</v>
      </c>
      <c r="J179" t="str">
        <f t="shared" si="2"/>
        <v>	(177, 'NEP'),</v>
      </c>
    </row>
    <row r="180" spans="7:10">
      <c r="G180" s="12">
        <v>178</v>
      </c>
      <c r="H180" s="13" t="s">
        <v>701</v>
      </c>
      <c r="I180" s="15" t="s">
        <v>702</v>
      </c>
      <c r="J180" t="str">
        <f t="shared" si="2"/>
        <v>	(178, 'MRI'),</v>
      </c>
    </row>
    <row r="181" spans="7:10">
      <c r="G181" s="12">
        <v>179</v>
      </c>
      <c r="H181" s="13" t="s">
        <v>703</v>
      </c>
      <c r="I181" s="15" t="s">
        <v>704</v>
      </c>
      <c r="J181" t="str">
        <f t="shared" si="2"/>
        <v>	(179, 'BAR'),</v>
      </c>
    </row>
    <row r="182" spans="7:10">
      <c r="G182" s="12">
        <v>180</v>
      </c>
      <c r="H182" s="13" t="s">
        <v>705</v>
      </c>
      <c r="I182" s="15" t="s">
        <v>706</v>
      </c>
      <c r="J182" t="str">
        <f t="shared" si="2"/>
        <v>	(180, 'BLZ'),</v>
      </c>
    </row>
    <row r="183" spans="7:10">
      <c r="G183" s="12">
        <v>181</v>
      </c>
      <c r="H183" s="13" t="s">
        <v>707</v>
      </c>
      <c r="I183" s="15" t="s">
        <v>708</v>
      </c>
      <c r="J183" t="str">
        <f t="shared" si="2"/>
        <v>	(181, 'BAN'),</v>
      </c>
    </row>
    <row r="184" spans="7:10">
      <c r="G184" s="12">
        <v>182</v>
      </c>
      <c r="H184" s="13" t="s">
        <v>709</v>
      </c>
      <c r="I184" s="15" t="s">
        <v>710</v>
      </c>
      <c r="J184" t="str">
        <f t="shared" si="2"/>
        <v>	(182, 'DMA'),</v>
      </c>
    </row>
    <row r="185" spans="7:10">
      <c r="G185" s="12">
        <v>183</v>
      </c>
      <c r="H185" s="13" t="s">
        <v>711</v>
      </c>
      <c r="I185" s="15" t="s">
        <v>712</v>
      </c>
      <c r="J185" t="str">
        <f t="shared" si="2"/>
        <v>	(183, 'CHA'),</v>
      </c>
    </row>
    <row r="186" spans="7:10">
      <c r="G186" s="12">
        <v>184</v>
      </c>
      <c r="H186" s="13" t="s">
        <v>713</v>
      </c>
      <c r="I186" s="15" t="s">
        <v>714</v>
      </c>
      <c r="J186" t="str">
        <f t="shared" si="2"/>
        <v>	(184, 'ERI'),</v>
      </c>
    </row>
    <row r="187" spans="7:10">
      <c r="G187" s="12">
        <v>185</v>
      </c>
      <c r="H187" s="13" t="s">
        <v>715</v>
      </c>
      <c r="I187" s="15" t="s">
        <v>716</v>
      </c>
      <c r="J187" t="str">
        <f t="shared" si="2"/>
        <v>	(185, 'LAO'),</v>
      </c>
    </row>
    <row r="188" spans="7:10">
      <c r="G188" s="12">
        <v>186</v>
      </c>
      <c r="H188" s="13" t="s">
        <v>717</v>
      </c>
      <c r="I188" s="15" t="s">
        <v>718</v>
      </c>
      <c r="J188" t="str">
        <f t="shared" si="2"/>
        <v>	(186, 'COK'),</v>
      </c>
    </row>
    <row r="189" spans="7:10">
      <c r="G189" s="12">
        <v>187</v>
      </c>
      <c r="H189" s="13" t="s">
        <v>719</v>
      </c>
      <c r="I189" s="15" t="s">
        <v>720</v>
      </c>
      <c r="J189" t="str">
        <f t="shared" si="2"/>
        <v>	(187, 'SRI'),</v>
      </c>
    </row>
    <row r="190" spans="7:10">
      <c r="G190" s="12">
        <v>188</v>
      </c>
      <c r="H190" s="13" t="s">
        <v>721</v>
      </c>
      <c r="I190" s="15" t="s">
        <v>722</v>
      </c>
      <c r="J190" t="str">
        <f t="shared" si="2"/>
        <v>	(188, 'SAM'),</v>
      </c>
    </row>
    <row r="191" spans="7:10">
      <c r="G191" s="12">
        <v>189</v>
      </c>
      <c r="H191" s="13" t="s">
        <v>723</v>
      </c>
      <c r="I191" s="15" t="s">
        <v>724</v>
      </c>
      <c r="J191" t="str">
        <f t="shared" si="2"/>
        <v>	(189, 'ARU'),</v>
      </c>
    </row>
    <row r="192" spans="7:10">
      <c r="G192" s="12">
        <v>190</v>
      </c>
      <c r="H192" s="13" t="s">
        <v>725</v>
      </c>
      <c r="I192" s="15" t="s">
        <v>726</v>
      </c>
      <c r="J192" t="str">
        <f t="shared" si="2"/>
        <v>	(190, 'MNG'),</v>
      </c>
    </row>
    <row r="193" spans="7:10">
      <c r="G193" s="12">
        <v>191</v>
      </c>
      <c r="H193" s="13" t="s">
        <v>727</v>
      </c>
      <c r="I193" s="15" t="s">
        <v>728</v>
      </c>
      <c r="J193" t="str">
        <f t="shared" si="2"/>
        <v>	(191, 'ASA'),</v>
      </c>
    </row>
    <row r="194" spans="7:10">
      <c r="G194" s="12">
        <v>192</v>
      </c>
      <c r="H194" s="13" t="s">
        <v>729</v>
      </c>
      <c r="I194" s="15" t="s">
        <v>730</v>
      </c>
      <c r="J194" t="str">
        <f t="shared" si="2"/>
        <v>	(192, 'BHU'),</v>
      </c>
    </row>
    <row r="195" spans="7:10">
      <c r="G195" s="12">
        <v>193</v>
      </c>
      <c r="H195" s="13" t="s">
        <v>731</v>
      </c>
      <c r="I195" s="15" t="s">
        <v>732</v>
      </c>
      <c r="J195" t="str">
        <f t="shared" ref="J195:J212" si="3">CHAR(9)&amp;"("&amp;G195&amp;", '"&amp;H195&amp;"'),"</f>
        <v>	(193, 'MAC'),</v>
      </c>
    </row>
    <row r="196" spans="7:10">
      <c r="G196" s="12">
        <v>194</v>
      </c>
      <c r="H196" s="13" t="s">
        <v>733</v>
      </c>
      <c r="I196" s="15" t="s">
        <v>734</v>
      </c>
      <c r="J196" t="str">
        <f t="shared" si="3"/>
        <v>	(194, 'BRU'),</v>
      </c>
    </row>
    <row r="197" spans="7:10">
      <c r="G197" s="12">
        <v>195</v>
      </c>
      <c r="H197" s="13" t="s">
        <v>735</v>
      </c>
      <c r="I197" s="15" t="s">
        <v>736</v>
      </c>
      <c r="J197" t="str">
        <f t="shared" si="3"/>
        <v>	(195, 'STP'),</v>
      </c>
    </row>
    <row r="198" spans="7:10">
      <c r="G198" s="12">
        <v>196</v>
      </c>
      <c r="H198" s="13" t="s">
        <v>737</v>
      </c>
      <c r="I198" s="15" t="s">
        <v>738</v>
      </c>
      <c r="J198" t="str">
        <f t="shared" si="3"/>
        <v>	(196, 'DJI'),</v>
      </c>
    </row>
    <row r="199" spans="7:10">
      <c r="G199" s="12">
        <v>197</v>
      </c>
      <c r="H199" s="13" t="s">
        <v>739</v>
      </c>
      <c r="I199" s="15" t="s">
        <v>740</v>
      </c>
      <c r="J199" t="str">
        <f t="shared" si="3"/>
        <v>	(197, 'CAY'),</v>
      </c>
    </row>
    <row r="200" spans="7:10">
      <c r="G200" s="12">
        <v>198</v>
      </c>
      <c r="H200" s="13" t="s">
        <v>741</v>
      </c>
      <c r="I200" s="15" t="s">
        <v>742</v>
      </c>
      <c r="J200" t="str">
        <f t="shared" si="3"/>
        <v>	(198, 'PAK'),</v>
      </c>
    </row>
    <row r="201" spans="7:10">
      <c r="G201" s="12">
        <v>199</v>
      </c>
      <c r="H201" s="13" t="s">
        <v>743</v>
      </c>
      <c r="I201" s="15" t="s">
        <v>744</v>
      </c>
      <c r="J201" t="str">
        <f t="shared" si="3"/>
        <v>	(199, 'SOM'),</v>
      </c>
    </row>
    <row r="202" spans="7:10">
      <c r="G202" s="12">
        <v>200</v>
      </c>
      <c r="H202" s="13" t="s">
        <v>745</v>
      </c>
      <c r="I202" s="15" t="s">
        <v>746</v>
      </c>
      <c r="J202" t="str">
        <f t="shared" si="3"/>
        <v>	(200, 'TGA'),</v>
      </c>
    </row>
    <row r="203" spans="7:10">
      <c r="G203" s="12">
        <v>201</v>
      </c>
      <c r="H203" s="13" t="s">
        <v>747</v>
      </c>
      <c r="I203" s="15" t="s">
        <v>748</v>
      </c>
      <c r="J203" t="str">
        <f t="shared" si="3"/>
        <v>	(201, 'TLS'),</v>
      </c>
    </row>
    <row r="204" spans="7:10">
      <c r="G204" s="12">
        <v>202</v>
      </c>
      <c r="H204" s="13" t="s">
        <v>749</v>
      </c>
      <c r="I204" s="15" t="s">
        <v>750</v>
      </c>
      <c r="J204" t="str">
        <f t="shared" si="3"/>
        <v>	(202, 'GIB'),</v>
      </c>
    </row>
    <row r="205" spans="7:10">
      <c r="G205" s="12">
        <v>203</v>
      </c>
      <c r="H205" s="13" t="s">
        <v>751</v>
      </c>
      <c r="I205" s="15" t="s">
        <v>752</v>
      </c>
      <c r="J205" t="str">
        <f t="shared" si="3"/>
        <v>	(203, 'GUM'),</v>
      </c>
    </row>
    <row r="206" spans="7:10">
      <c r="G206" s="12">
        <v>204</v>
      </c>
      <c r="H206" s="13" t="s">
        <v>753</v>
      </c>
      <c r="I206" s="15" t="s">
        <v>754</v>
      </c>
      <c r="J206" t="str">
        <f t="shared" si="3"/>
        <v>	(204, 'SEY'),</v>
      </c>
    </row>
    <row r="207" spans="7:10">
      <c r="G207" s="12">
        <v>205</v>
      </c>
      <c r="H207" s="13" t="s">
        <v>755</v>
      </c>
      <c r="I207" s="15" t="s">
        <v>756</v>
      </c>
      <c r="J207" t="str">
        <f t="shared" si="3"/>
        <v>	(205, 'TCA'),</v>
      </c>
    </row>
    <row r="208" spans="7:10">
      <c r="G208" s="12">
        <v>206</v>
      </c>
      <c r="H208" s="13" t="s">
        <v>757</v>
      </c>
      <c r="I208" s="15" t="s">
        <v>758</v>
      </c>
      <c r="J208" t="str">
        <f t="shared" si="3"/>
        <v>	(206, 'LIE'),</v>
      </c>
    </row>
    <row r="209" spans="7:10">
      <c r="G209" s="12">
        <v>207</v>
      </c>
      <c r="H209" s="13" t="s">
        <v>759</v>
      </c>
      <c r="I209" s="15" t="s">
        <v>760</v>
      </c>
      <c r="J209" t="str">
        <f t="shared" si="3"/>
        <v>	(207, 'BAH'),</v>
      </c>
    </row>
    <row r="210" spans="7:10">
      <c r="G210" s="12">
        <v>208</v>
      </c>
      <c r="H210" s="13" t="s">
        <v>761</v>
      </c>
      <c r="I210" s="15" t="s">
        <v>762</v>
      </c>
      <c r="J210" t="str">
        <f t="shared" si="3"/>
        <v>	(208, 'VIR'),</v>
      </c>
    </row>
    <row r="211" spans="7:10">
      <c r="G211" s="12">
        <v>209</v>
      </c>
      <c r="H211" s="13" t="s">
        <v>763</v>
      </c>
      <c r="I211" s="15" t="s">
        <v>764</v>
      </c>
      <c r="J211" t="str">
        <f t="shared" si="3"/>
        <v>	(209, 'VGB'),</v>
      </c>
    </row>
    <row r="212" spans="7:10">
      <c r="G212" s="12">
        <v>210</v>
      </c>
      <c r="H212" s="13" t="s">
        <v>765</v>
      </c>
      <c r="I212" s="15" t="s">
        <v>766</v>
      </c>
      <c r="J212" t="str">
        <f t="shared" si="3"/>
        <v>	(210, 'AIA'),</v>
      </c>
    </row>
    <row r="213" spans="7:10">
      <c r="G213" s="12">
        <v>211</v>
      </c>
      <c r="H213" s="13" t="s">
        <v>767</v>
      </c>
      <c r="I213" s="15" t="s">
        <v>768</v>
      </c>
      <c r="J213" t="str">
        <f>CHAR(9)&amp;"("&amp;G213&amp;", '"&amp;H213&amp;"')"</f>
        <v>(211, 'SMR')</v>
      </c>
    </row>
    <row r="214" spans="10:10">
      <c r="J214" t="s">
        <v>293</v>
      </c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3"/>
  <sheetViews>
    <sheetView workbookViewId="0">
      <selection activeCell="A1" sqref="A1"/>
    </sheetView>
  </sheetViews>
  <sheetFormatPr defaultColWidth="3.77777777777778" defaultRowHeight="18.75" outlineLevelCol="4"/>
  <cols>
    <col min="1" max="1" width="3.77777777777778" customWidth="1"/>
    <col min="2" max="2" width="30.7777777777778" customWidth="1"/>
    <col min="3" max="4" width="5.77777777777778" customWidth="1"/>
    <col min="5" max="5" width="40.7777777777778" customWidth="1"/>
    <col min="6" max="6" width="3.77777777777778" customWidth="1"/>
  </cols>
  <sheetData>
    <row r="2" spans="2:5">
      <c r="B2" s="1" t="s">
        <v>37</v>
      </c>
      <c r="C2" s="1"/>
      <c r="D2" s="1"/>
      <c r="E2" s="2" t="s">
        <v>38</v>
      </c>
    </row>
    <row r="3" spans="2:5">
      <c r="B3" s="3" t="s">
        <v>52</v>
      </c>
      <c r="C3" s="3"/>
      <c r="D3" s="3"/>
      <c r="E3" s="4" t="s">
        <v>53</v>
      </c>
    </row>
    <row r="4" spans="2:5">
      <c r="B4" s="1" t="s">
        <v>39</v>
      </c>
      <c r="C4" s="1"/>
      <c r="D4" s="1"/>
      <c r="E4" s="1"/>
    </row>
    <row r="5" spans="2:5">
      <c r="B5" s="3" t="s">
        <v>54</v>
      </c>
      <c r="C5" s="3"/>
      <c r="D5" s="3"/>
      <c r="E5" s="3"/>
    </row>
    <row r="7" spans="2:5">
      <c r="B7" s="5" t="s">
        <v>83</v>
      </c>
      <c r="C7" s="5" t="s">
        <v>84</v>
      </c>
      <c r="D7" s="5" t="s">
        <v>769</v>
      </c>
      <c r="E7" s="5" t="s">
        <v>39</v>
      </c>
    </row>
    <row r="8" spans="2:5">
      <c r="B8" s="10" t="s">
        <v>408</v>
      </c>
      <c r="C8" s="4"/>
      <c r="D8" s="4"/>
      <c r="E8" s="10" t="s">
        <v>421</v>
      </c>
    </row>
    <row r="9" spans="2:5">
      <c r="B9" s="10" t="s">
        <v>294</v>
      </c>
      <c r="C9" s="4"/>
      <c r="D9" s="4"/>
      <c r="E9" s="10" t="s">
        <v>319</v>
      </c>
    </row>
    <row r="10" spans="2:5">
      <c r="B10" s="10" t="s">
        <v>437</v>
      </c>
      <c r="C10" s="4"/>
      <c r="D10" s="4"/>
      <c r="E10" s="10" t="s">
        <v>439</v>
      </c>
    </row>
    <row r="11" spans="2:5">
      <c r="B11" s="10"/>
      <c r="C11" s="4"/>
      <c r="D11" s="4"/>
      <c r="E11" s="10" t="s">
        <v>770</v>
      </c>
    </row>
    <row r="12" spans="2:5">
      <c r="B12" s="10"/>
      <c r="C12" s="4"/>
      <c r="D12" s="4"/>
      <c r="E12" s="10" t="s">
        <v>771</v>
      </c>
    </row>
    <row r="13" spans="2:5">
      <c r="B13" s="10"/>
      <c r="C13" s="4"/>
      <c r="D13" s="4"/>
      <c r="E13" s="10" t="s">
        <v>772</v>
      </c>
    </row>
    <row r="14" spans="2:5">
      <c r="B14" s="10"/>
      <c r="C14" s="4"/>
      <c r="D14" s="4"/>
      <c r="E14" s="10"/>
    </row>
    <row r="15" spans="2:5">
      <c r="B15" s="10"/>
      <c r="C15" s="4"/>
      <c r="D15" s="4"/>
      <c r="E15" s="10"/>
    </row>
    <row r="16" spans="2:5">
      <c r="B16" s="10"/>
      <c r="C16" s="4"/>
      <c r="D16" s="4"/>
      <c r="E16" s="10"/>
    </row>
    <row r="17" spans="2:5">
      <c r="B17" s="10"/>
      <c r="C17" s="4"/>
      <c r="D17" s="4"/>
      <c r="E17" s="10"/>
    </row>
    <row r="18" spans="2:5">
      <c r="B18" s="10"/>
      <c r="C18" s="4"/>
      <c r="D18" s="4"/>
      <c r="E18" s="10"/>
    </row>
    <row r="19" spans="2:5">
      <c r="B19" s="10"/>
      <c r="C19" s="10"/>
      <c r="D19" s="10"/>
      <c r="E19" s="10"/>
    </row>
    <row r="20" spans="2:5">
      <c r="B20" s="10"/>
      <c r="C20" s="4"/>
      <c r="D20" s="4"/>
      <c r="E20" s="10"/>
    </row>
    <row r="21" spans="2:5">
      <c r="B21" s="10"/>
      <c r="C21" s="4"/>
      <c r="D21" s="4"/>
      <c r="E21" s="10"/>
    </row>
    <row r="23" spans="2:2">
      <c r="B23" t="s">
        <v>773</v>
      </c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0"/>
  <sheetViews>
    <sheetView workbookViewId="0">
      <selection activeCell="A1" sqref="A1"/>
    </sheetView>
  </sheetViews>
  <sheetFormatPr defaultColWidth="3.77777777777778" defaultRowHeight="18.75"/>
  <cols>
    <col min="1" max="1" width="3.77777777777778" customWidth="1"/>
    <col min="2" max="2" width="30.7777777777778" customWidth="1"/>
    <col min="3" max="4" width="5.77777777777778" customWidth="1"/>
    <col min="5" max="5" width="40.7777777777778" customWidth="1"/>
    <col min="6" max="6" width="3.77777777777778" customWidth="1"/>
  </cols>
  <sheetData>
    <row r="2" spans="2:8">
      <c r="B2" s="1" t="s">
        <v>37</v>
      </c>
      <c r="C2" s="1"/>
      <c r="D2" s="1"/>
      <c r="E2" s="2" t="s">
        <v>38</v>
      </c>
      <c r="H2" t="s">
        <v>774</v>
      </c>
    </row>
    <row r="3" spans="2:9">
      <c r="B3" s="3" t="s">
        <v>55</v>
      </c>
      <c r="C3" s="3"/>
      <c r="D3" s="3"/>
      <c r="E3" s="4" t="s">
        <v>53</v>
      </c>
      <c r="I3" t="s">
        <v>775</v>
      </c>
    </row>
    <row r="4" spans="2:8">
      <c r="B4" s="1" t="s">
        <v>39</v>
      </c>
      <c r="C4" s="1"/>
      <c r="D4" s="1"/>
      <c r="E4" s="1"/>
      <c r="H4" t="s">
        <v>776</v>
      </c>
    </row>
    <row r="5" spans="2:9">
      <c r="B5" s="3" t="s">
        <v>777</v>
      </c>
      <c r="C5" s="3"/>
      <c r="D5" s="3"/>
      <c r="E5" s="3"/>
      <c r="I5" t="s">
        <v>778</v>
      </c>
    </row>
    <row r="6" spans="9:9">
      <c r="I6" t="s">
        <v>779</v>
      </c>
    </row>
    <row r="7" spans="2:9">
      <c r="B7" s="5" t="s">
        <v>83</v>
      </c>
      <c r="C7" s="5" t="s">
        <v>84</v>
      </c>
      <c r="D7" s="5" t="s">
        <v>769</v>
      </c>
      <c r="E7" s="5" t="s">
        <v>39</v>
      </c>
      <c r="I7" t="s">
        <v>780</v>
      </c>
    </row>
    <row r="8" spans="2:9">
      <c r="B8" s="10" t="s">
        <v>409</v>
      </c>
      <c r="C8" s="4"/>
      <c r="D8" s="4"/>
      <c r="E8" s="10" t="s">
        <v>424</v>
      </c>
      <c r="I8" t="s">
        <v>781</v>
      </c>
    </row>
    <row r="9" spans="2:8">
      <c r="B9" s="10" t="s">
        <v>782</v>
      </c>
      <c r="C9" s="4"/>
      <c r="D9" s="4"/>
      <c r="E9" s="10" t="s">
        <v>783</v>
      </c>
      <c r="H9" t="s">
        <v>784</v>
      </c>
    </row>
    <row r="10" spans="2:9">
      <c r="B10" s="10" t="s">
        <v>437</v>
      </c>
      <c r="C10" s="4"/>
      <c r="D10" s="4"/>
      <c r="E10" s="10" t="s">
        <v>439</v>
      </c>
      <c r="I10" t="s">
        <v>785</v>
      </c>
    </row>
    <row r="11" spans="2:9">
      <c r="B11" s="10" t="s">
        <v>786</v>
      </c>
      <c r="C11" s="4"/>
      <c r="D11" s="4"/>
      <c r="E11" s="10" t="s">
        <v>787</v>
      </c>
      <c r="I11" t="s">
        <v>788</v>
      </c>
    </row>
    <row r="12" spans="2:9">
      <c r="B12" s="10" t="s">
        <v>789</v>
      </c>
      <c r="C12" s="4"/>
      <c r="D12" s="4"/>
      <c r="E12" s="10" t="s">
        <v>790</v>
      </c>
      <c r="I12" t="s">
        <v>303</v>
      </c>
    </row>
    <row r="13" spans="2:9">
      <c r="B13" s="10" t="s">
        <v>791</v>
      </c>
      <c r="C13" s="4"/>
      <c r="D13" s="4"/>
      <c r="E13" s="10" t="s">
        <v>792</v>
      </c>
      <c r="I13" t="s">
        <v>793</v>
      </c>
    </row>
    <row r="14" spans="2:8">
      <c r="B14" s="10" t="s">
        <v>794</v>
      </c>
      <c r="C14" s="4"/>
      <c r="D14" s="4"/>
      <c r="E14" s="10" t="s">
        <v>795</v>
      </c>
      <c r="H14" t="s">
        <v>796</v>
      </c>
    </row>
    <row r="15" spans="2:9">
      <c r="B15" s="10" t="s">
        <v>797</v>
      </c>
      <c r="C15" s="4"/>
      <c r="D15" s="4"/>
      <c r="E15" s="10" t="s">
        <v>798</v>
      </c>
      <c r="I15" t="s">
        <v>51</v>
      </c>
    </row>
    <row r="16" spans="2:5">
      <c r="B16" s="10" t="s">
        <v>799</v>
      </c>
      <c r="C16" s="4"/>
      <c r="D16" s="4"/>
      <c r="E16" s="10" t="s">
        <v>800</v>
      </c>
    </row>
    <row r="17" spans="2:8">
      <c r="B17" s="10" t="s">
        <v>801</v>
      </c>
      <c r="C17" s="4"/>
      <c r="D17" s="4"/>
      <c r="E17" s="10" t="s">
        <v>802</v>
      </c>
      <c r="H17" t="s">
        <v>803</v>
      </c>
    </row>
    <row r="18" spans="2:8">
      <c r="B18" s="10" t="s">
        <v>297</v>
      </c>
      <c r="C18" s="10"/>
      <c r="D18" s="10"/>
      <c r="E18" s="10" t="s">
        <v>329</v>
      </c>
      <c r="H18" t="s">
        <v>804</v>
      </c>
    </row>
    <row r="19" spans="2:5">
      <c r="B19" s="10" t="s">
        <v>805</v>
      </c>
      <c r="C19" s="4"/>
      <c r="D19" s="4"/>
      <c r="E19" s="10" t="s">
        <v>806</v>
      </c>
    </row>
    <row r="20" spans="2:5">
      <c r="B20" s="10" t="s">
        <v>440</v>
      </c>
      <c r="C20" s="4"/>
      <c r="D20" s="4"/>
      <c r="E20" s="10" t="s">
        <v>51</v>
      </c>
    </row>
  </sheetData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0"/>
  <sheetViews>
    <sheetView workbookViewId="0">
      <selection activeCell="A1" sqref="A1"/>
    </sheetView>
  </sheetViews>
  <sheetFormatPr defaultColWidth="3.77777777777778" defaultRowHeight="18.75"/>
  <cols>
    <col min="1" max="1" width="3.77777777777778" customWidth="1"/>
    <col min="2" max="2" width="30.7777777777778" customWidth="1"/>
    <col min="3" max="4" width="5.77777777777778" customWidth="1"/>
    <col min="5" max="5" width="40.7777777777778" customWidth="1"/>
    <col min="6" max="6" width="3.77777777777778" customWidth="1"/>
  </cols>
  <sheetData>
    <row r="2" spans="2:8">
      <c r="B2" s="1" t="s">
        <v>37</v>
      </c>
      <c r="C2" s="1"/>
      <c r="D2" s="1"/>
      <c r="E2" s="2" t="s">
        <v>38</v>
      </c>
      <c r="H2" t="s">
        <v>774</v>
      </c>
    </row>
    <row r="3" spans="2:9">
      <c r="B3" s="3" t="s">
        <v>56</v>
      </c>
      <c r="C3" s="3"/>
      <c r="D3" s="3"/>
      <c r="E3" s="4" t="s">
        <v>53</v>
      </c>
      <c r="I3" t="s">
        <v>775</v>
      </c>
    </row>
    <row r="4" spans="2:5">
      <c r="B4" s="1" t="s">
        <v>39</v>
      </c>
      <c r="C4" s="1"/>
      <c r="D4" s="1"/>
      <c r="E4" s="1"/>
    </row>
    <row r="5" spans="2:5">
      <c r="B5" s="3" t="s">
        <v>807</v>
      </c>
      <c r="C5" s="3"/>
      <c r="D5" s="3"/>
      <c r="E5" s="3"/>
    </row>
    <row r="7" spans="2:5">
      <c r="B7" s="5" t="s">
        <v>83</v>
      </c>
      <c r="C7" s="5" t="s">
        <v>84</v>
      </c>
      <c r="D7" s="5" t="s">
        <v>769</v>
      </c>
      <c r="E7" s="5" t="s">
        <v>39</v>
      </c>
    </row>
    <row r="8" spans="2:5">
      <c r="B8" s="10" t="s">
        <v>408</v>
      </c>
      <c r="C8" s="4"/>
      <c r="D8" s="4"/>
      <c r="E8" s="10" t="s">
        <v>421</v>
      </c>
    </row>
    <row r="9" spans="2:5">
      <c r="B9" s="10" t="s">
        <v>782</v>
      </c>
      <c r="C9" s="4"/>
      <c r="D9" s="4"/>
      <c r="E9" s="10" t="s">
        <v>783</v>
      </c>
    </row>
    <row r="10" spans="2:5">
      <c r="B10" s="10" t="s">
        <v>294</v>
      </c>
      <c r="C10" s="4"/>
      <c r="D10" s="4"/>
      <c r="E10" s="10" t="s">
        <v>319</v>
      </c>
    </row>
    <row r="11" spans="2:5">
      <c r="B11" s="10" t="s">
        <v>786</v>
      </c>
      <c r="C11" s="4"/>
      <c r="D11" s="4"/>
      <c r="E11" s="10" t="s">
        <v>787</v>
      </c>
    </row>
    <row r="12" spans="2:5">
      <c r="B12" s="10" t="s">
        <v>789</v>
      </c>
      <c r="C12" s="4"/>
      <c r="D12" s="4"/>
      <c r="E12" s="10" t="s">
        <v>790</v>
      </c>
    </row>
    <row r="13" spans="2:5">
      <c r="B13" s="10" t="s">
        <v>791</v>
      </c>
      <c r="C13" s="4"/>
      <c r="D13" s="4"/>
      <c r="E13" s="10" t="s">
        <v>792</v>
      </c>
    </row>
    <row r="14" spans="2:5">
      <c r="B14" s="10" t="s">
        <v>794</v>
      </c>
      <c r="C14" s="4"/>
      <c r="D14" s="4"/>
      <c r="E14" s="10" t="s">
        <v>795</v>
      </c>
    </row>
    <row r="15" spans="2:5">
      <c r="B15" s="10" t="s">
        <v>797</v>
      </c>
      <c r="C15" s="4"/>
      <c r="D15" s="4"/>
      <c r="E15" s="10" t="s">
        <v>798</v>
      </c>
    </row>
    <row r="16" spans="2:5">
      <c r="B16" s="10" t="s">
        <v>799</v>
      </c>
      <c r="C16" s="4"/>
      <c r="D16" s="4"/>
      <c r="E16" s="10" t="s">
        <v>800</v>
      </c>
    </row>
    <row r="17" spans="2:5">
      <c r="B17" s="10" t="s">
        <v>801</v>
      </c>
      <c r="C17" s="4"/>
      <c r="D17" s="4"/>
      <c r="E17" s="10" t="s">
        <v>802</v>
      </c>
    </row>
    <row r="18" spans="2:5">
      <c r="B18" s="10" t="s">
        <v>297</v>
      </c>
      <c r="C18" s="10"/>
      <c r="D18" s="10"/>
      <c r="E18" s="10" t="s">
        <v>329</v>
      </c>
    </row>
    <row r="19" spans="2:5">
      <c r="B19" s="10" t="s">
        <v>805</v>
      </c>
      <c r="C19" s="4"/>
      <c r="D19" s="4"/>
      <c r="E19" s="10" t="s">
        <v>806</v>
      </c>
    </row>
    <row r="20" spans="2:5">
      <c r="B20" s="10" t="s">
        <v>440</v>
      </c>
      <c r="C20" s="4"/>
      <c r="D20" s="4"/>
      <c r="E20" s="10" t="s">
        <v>51</v>
      </c>
    </row>
  </sheetData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J36"/>
  <sheetViews>
    <sheetView workbookViewId="0">
      <selection activeCell="A1" sqref="A1"/>
    </sheetView>
  </sheetViews>
  <sheetFormatPr defaultColWidth="3.77777777777778" defaultRowHeight="18.75"/>
  <cols>
    <col min="1" max="1" width="3.77777777777778" customWidth="1"/>
    <col min="2" max="2" width="30.7777777777778" customWidth="1"/>
    <col min="3" max="4" width="5.77777777777778" customWidth="1"/>
    <col min="5" max="5" width="40.7777777777778" customWidth="1"/>
    <col min="6" max="6" width="3.77777777777778" customWidth="1"/>
  </cols>
  <sheetData>
    <row r="2" spans="2:34">
      <c r="B2" s="1" t="s">
        <v>37</v>
      </c>
      <c r="C2" s="1"/>
      <c r="D2" s="1"/>
      <c r="E2" s="2" t="s">
        <v>38</v>
      </c>
      <c r="AH2" t="s">
        <v>808</v>
      </c>
    </row>
    <row r="3" spans="2:34">
      <c r="B3" s="3" t="s">
        <v>57</v>
      </c>
      <c r="C3" s="3"/>
      <c r="D3" s="3"/>
      <c r="E3" s="4" t="s">
        <v>58</v>
      </c>
      <c r="AH3" t="s">
        <v>809</v>
      </c>
    </row>
    <row r="4" spans="2:18">
      <c r="B4" s="1" t="s">
        <v>39</v>
      </c>
      <c r="C4" s="1"/>
      <c r="D4" s="1"/>
      <c r="E4" s="1"/>
      <c r="H4" t="s">
        <v>776</v>
      </c>
      <c r="R4" t="s">
        <v>810</v>
      </c>
    </row>
    <row r="5" spans="2:34">
      <c r="B5" s="3" t="s">
        <v>811</v>
      </c>
      <c r="C5" s="3"/>
      <c r="D5" s="3"/>
      <c r="E5" s="3"/>
      <c r="I5" t="s">
        <v>778</v>
      </c>
      <c r="S5" t="s">
        <v>812</v>
      </c>
      <c r="AH5" t="s">
        <v>813</v>
      </c>
    </row>
    <row r="6" spans="9:35">
      <c r="I6" t="s">
        <v>779</v>
      </c>
      <c r="AI6" t="s">
        <v>814</v>
      </c>
    </row>
    <row r="7" spans="2:35">
      <c r="B7" s="5" t="s">
        <v>83</v>
      </c>
      <c r="C7" s="5" t="s">
        <v>84</v>
      </c>
      <c r="D7" s="5" t="s">
        <v>769</v>
      </c>
      <c r="E7" s="5" t="s">
        <v>39</v>
      </c>
      <c r="I7" t="s">
        <v>780</v>
      </c>
      <c r="R7" t="s">
        <v>815</v>
      </c>
      <c r="AI7" t="s">
        <v>816</v>
      </c>
    </row>
    <row r="8" spans="2:19">
      <c r="B8" s="10" t="s">
        <v>408</v>
      </c>
      <c r="C8" s="4"/>
      <c r="D8" s="4"/>
      <c r="E8" s="10" t="s">
        <v>421</v>
      </c>
      <c r="F8" t="str">
        <f>B8&amp;","</f>
        <v>group_id,</v>
      </c>
      <c r="I8" t="s">
        <v>781</v>
      </c>
      <c r="S8" t="s">
        <v>817</v>
      </c>
    </row>
    <row r="9" spans="2:35">
      <c r="B9" s="10" t="s">
        <v>782</v>
      </c>
      <c r="C9" s="4"/>
      <c r="D9" s="4"/>
      <c r="E9" s="10" t="s">
        <v>783</v>
      </c>
      <c r="F9" t="str">
        <f>B9&amp;", "</f>
        <v>rank,</v>
      </c>
      <c r="T9" t="s">
        <v>818</v>
      </c>
      <c r="AI9" t="s">
        <v>819</v>
      </c>
    </row>
    <row r="10" spans="2:35">
      <c r="B10" s="10" t="s">
        <v>294</v>
      </c>
      <c r="C10" s="4"/>
      <c r="D10" s="4"/>
      <c r="E10" s="10" t="s">
        <v>319</v>
      </c>
      <c r="F10" t="str">
        <f>B10&amp;", "</f>
        <v>team_id,</v>
      </c>
      <c r="T10" t="s">
        <v>820</v>
      </c>
      <c r="AI10" t="s">
        <v>821</v>
      </c>
    </row>
    <row r="11" spans="2:6">
      <c r="B11" s="10" t="s">
        <v>786</v>
      </c>
      <c r="C11" s="4"/>
      <c r="D11" s="4"/>
      <c r="E11" s="10" t="s">
        <v>787</v>
      </c>
      <c r="F11" t="str">
        <f t="shared" ref="F11:F19" si="0">B11&amp;", "</f>
        <v>played,</v>
      </c>
    </row>
    <row r="12" spans="2:35">
      <c r="B12" s="10" t="s">
        <v>789</v>
      </c>
      <c r="C12" s="4"/>
      <c r="D12" s="4"/>
      <c r="E12" s="10" t="s">
        <v>790</v>
      </c>
      <c r="F12" t="str">
        <f t="shared" si="0"/>
        <v>win,</v>
      </c>
      <c r="T12" t="s">
        <v>822</v>
      </c>
      <c r="AI12" t="s">
        <v>823</v>
      </c>
    </row>
    <row r="13" spans="2:36">
      <c r="B13" s="10" t="s">
        <v>791</v>
      </c>
      <c r="C13" s="4"/>
      <c r="D13" s="4"/>
      <c r="E13" s="10" t="s">
        <v>792</v>
      </c>
      <c r="F13" t="str">
        <f t="shared" si="0"/>
        <v>draw,</v>
      </c>
      <c r="U13" t="s">
        <v>812</v>
      </c>
      <c r="AJ13" t="s">
        <v>824</v>
      </c>
    </row>
    <row r="14" spans="2:6">
      <c r="B14" s="10" t="s">
        <v>794</v>
      </c>
      <c r="C14" s="4"/>
      <c r="D14" s="4"/>
      <c r="E14" s="10" t="s">
        <v>795</v>
      </c>
      <c r="F14" t="str">
        <f t="shared" si="0"/>
        <v>loss,</v>
      </c>
    </row>
    <row r="15" spans="2:36">
      <c r="B15" s="10" t="s">
        <v>797</v>
      </c>
      <c r="C15" s="4"/>
      <c r="D15" s="4"/>
      <c r="E15" s="10" t="s">
        <v>798</v>
      </c>
      <c r="F15" t="str">
        <f t="shared" si="0"/>
        <v>goal_scored,</v>
      </c>
      <c r="T15" t="s">
        <v>825</v>
      </c>
      <c r="AJ15" t="s">
        <v>826</v>
      </c>
    </row>
    <row r="16" spans="2:6">
      <c r="B16" s="10" t="s">
        <v>799</v>
      </c>
      <c r="C16" s="4"/>
      <c r="D16" s="4"/>
      <c r="E16" s="10" t="s">
        <v>800</v>
      </c>
      <c r="F16" t="str">
        <f t="shared" si="0"/>
        <v>goal_allowed,</v>
      </c>
    </row>
    <row r="17" spans="2:6">
      <c r="B17" s="10" t="s">
        <v>801</v>
      </c>
      <c r="C17" s="4"/>
      <c r="D17" s="4"/>
      <c r="E17" s="10" t="s">
        <v>802</v>
      </c>
      <c r="F17" t="str">
        <f t="shared" si="0"/>
        <v>goal_difference,</v>
      </c>
    </row>
    <row r="18" spans="2:34">
      <c r="B18" s="10" t="s">
        <v>297</v>
      </c>
      <c r="C18" s="10"/>
      <c r="D18" s="10"/>
      <c r="E18" s="10" t="s">
        <v>329</v>
      </c>
      <c r="F18" t="str">
        <f t="shared" si="0"/>
        <v>conduct_score,</v>
      </c>
      <c r="AH18" t="s">
        <v>827</v>
      </c>
    </row>
    <row r="19" spans="2:34">
      <c r="B19" s="10" t="s">
        <v>805</v>
      </c>
      <c r="C19" s="4"/>
      <c r="D19" s="4"/>
      <c r="E19" s="10" t="s">
        <v>806</v>
      </c>
      <c r="F19" t="str">
        <f t="shared" si="0"/>
        <v>points,</v>
      </c>
      <c r="AH19" t="s">
        <v>828</v>
      </c>
    </row>
    <row r="20" spans="2:34">
      <c r="B20" s="10" t="s">
        <v>440</v>
      </c>
      <c r="C20" s="4"/>
      <c r="D20" s="4"/>
      <c r="E20" s="10" t="s">
        <v>51</v>
      </c>
      <c r="F20" t="str">
        <f>B20</f>
        <v>fifarank</v>
      </c>
      <c r="AH20" t="s">
        <v>829</v>
      </c>
    </row>
    <row r="21" spans="34:34">
      <c r="AH21" t="s">
        <v>830</v>
      </c>
    </row>
    <row r="22" spans="34:34">
      <c r="AH22" t="s">
        <v>831</v>
      </c>
    </row>
    <row r="26" spans="34:34">
      <c r="AH26" t="s">
        <v>832</v>
      </c>
    </row>
    <row r="27" spans="34:34">
      <c r="AH27" t="s">
        <v>833</v>
      </c>
    </row>
    <row r="28" spans="34:34">
      <c r="AH28" t="s">
        <v>834</v>
      </c>
    </row>
    <row r="29" spans="34:34">
      <c r="AH29" t="s">
        <v>835</v>
      </c>
    </row>
    <row r="30" spans="34:34">
      <c r="AH30" t="s">
        <v>836</v>
      </c>
    </row>
    <row r="31" spans="34:34">
      <c r="AH31" t="s">
        <v>837</v>
      </c>
    </row>
    <row r="32" spans="34:34">
      <c r="AH32" t="s">
        <v>838</v>
      </c>
    </row>
    <row r="33" spans="34:34">
      <c r="AH33" t="s">
        <v>839</v>
      </c>
    </row>
    <row r="35" spans="34:34">
      <c r="AH35" t="s">
        <v>840</v>
      </c>
    </row>
    <row r="36" spans="34:34">
      <c r="AH36" t="s">
        <v>841</v>
      </c>
    </row>
  </sheetData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0"/>
  <sheetViews>
    <sheetView tabSelected="1" workbookViewId="0">
      <selection activeCell="A1" sqref="A1"/>
    </sheetView>
  </sheetViews>
  <sheetFormatPr defaultColWidth="3.77777777777778" defaultRowHeight="18.75"/>
  <cols>
    <col min="1" max="1" width="3.77777777777778" customWidth="1"/>
    <col min="2" max="2" width="30.7777777777778" customWidth="1"/>
    <col min="3" max="4" width="5.77777777777778" customWidth="1"/>
    <col min="5" max="5" width="40.7777777777778" customWidth="1"/>
    <col min="6" max="6" width="3.77777777777778" customWidth="1"/>
  </cols>
  <sheetData>
    <row r="2" spans="2:5">
      <c r="B2" s="1" t="s">
        <v>37</v>
      </c>
      <c r="C2" s="1"/>
      <c r="D2" s="1"/>
      <c r="E2" s="2" t="s">
        <v>38</v>
      </c>
    </row>
    <row r="3" spans="2:5">
      <c r="B3" s="3" t="s">
        <v>59</v>
      </c>
      <c r="C3" s="3"/>
      <c r="D3" s="3"/>
      <c r="E3" s="4" t="s">
        <v>53</v>
      </c>
    </row>
    <row r="4" spans="2:5">
      <c r="B4" s="1" t="s">
        <v>39</v>
      </c>
      <c r="C4" s="1"/>
      <c r="D4" s="1"/>
      <c r="E4" s="1"/>
    </row>
    <row r="5" spans="2:5">
      <c r="B5" s="3" t="s">
        <v>842</v>
      </c>
      <c r="C5" s="3"/>
      <c r="D5" s="3"/>
      <c r="E5" s="3"/>
    </row>
    <row r="7" spans="2:5">
      <c r="B7" s="5" t="s">
        <v>83</v>
      </c>
      <c r="C7" s="5" t="s">
        <v>84</v>
      </c>
      <c r="D7" s="5" t="s">
        <v>769</v>
      </c>
      <c r="E7" s="5" t="s">
        <v>39</v>
      </c>
    </row>
    <row r="8" spans="2:5">
      <c r="B8" s="10" t="s">
        <v>408</v>
      </c>
      <c r="C8" s="4"/>
      <c r="D8" s="4"/>
      <c r="E8" s="10" t="s">
        <v>421</v>
      </c>
    </row>
    <row r="9" spans="2:8">
      <c r="B9" s="10" t="s">
        <v>782</v>
      </c>
      <c r="C9" s="4"/>
      <c r="D9" s="4"/>
      <c r="E9" s="10" t="s">
        <v>783</v>
      </c>
      <c r="H9" t="s">
        <v>784</v>
      </c>
    </row>
    <row r="10" spans="2:9">
      <c r="B10" s="10" t="s">
        <v>294</v>
      </c>
      <c r="C10" s="4"/>
      <c r="D10" s="4"/>
      <c r="E10" s="10" t="s">
        <v>319</v>
      </c>
      <c r="I10" t="s">
        <v>785</v>
      </c>
    </row>
    <row r="11" spans="2:9">
      <c r="B11" s="10" t="s">
        <v>786</v>
      </c>
      <c r="C11" s="4"/>
      <c r="D11" s="4"/>
      <c r="E11" s="10" t="s">
        <v>787</v>
      </c>
      <c r="I11" t="s">
        <v>788</v>
      </c>
    </row>
    <row r="12" spans="2:9">
      <c r="B12" s="10" t="s">
        <v>789</v>
      </c>
      <c r="C12" s="4"/>
      <c r="D12" s="4"/>
      <c r="E12" s="10" t="s">
        <v>790</v>
      </c>
      <c r="I12" t="s">
        <v>303</v>
      </c>
    </row>
    <row r="13" spans="2:9">
      <c r="B13" s="10" t="s">
        <v>791</v>
      </c>
      <c r="C13" s="4"/>
      <c r="D13" s="4"/>
      <c r="E13" s="10" t="s">
        <v>792</v>
      </c>
      <c r="I13" t="s">
        <v>793</v>
      </c>
    </row>
    <row r="14" spans="2:5">
      <c r="B14" s="10" t="s">
        <v>794</v>
      </c>
      <c r="C14" s="4"/>
      <c r="D14" s="4"/>
      <c r="E14" s="10" t="s">
        <v>795</v>
      </c>
    </row>
    <row r="15" spans="2:5">
      <c r="B15" s="10" t="s">
        <v>797</v>
      </c>
      <c r="C15" s="4"/>
      <c r="D15" s="4"/>
      <c r="E15" s="10" t="s">
        <v>798</v>
      </c>
    </row>
    <row r="16" spans="2:5">
      <c r="B16" s="10" t="s">
        <v>799</v>
      </c>
      <c r="C16" s="4"/>
      <c r="D16" s="4"/>
      <c r="E16" s="10" t="s">
        <v>800</v>
      </c>
    </row>
    <row r="17" spans="2:5">
      <c r="B17" s="10" t="s">
        <v>801</v>
      </c>
      <c r="C17" s="4"/>
      <c r="D17" s="4"/>
      <c r="E17" s="10" t="s">
        <v>802</v>
      </c>
    </row>
    <row r="18" spans="2:5">
      <c r="B18" s="10" t="s">
        <v>297</v>
      </c>
      <c r="C18" s="10"/>
      <c r="D18" s="10"/>
      <c r="E18" s="10" t="s">
        <v>329</v>
      </c>
    </row>
    <row r="19" spans="2:5">
      <c r="B19" s="10" t="s">
        <v>805</v>
      </c>
      <c r="C19" s="4"/>
      <c r="D19" s="4"/>
      <c r="E19" s="10" t="s">
        <v>806</v>
      </c>
    </row>
    <row r="20" spans="2:5">
      <c r="B20" s="10" t="s">
        <v>440</v>
      </c>
      <c r="C20" s="4"/>
      <c r="D20" s="4"/>
      <c r="E20" s="10" t="s">
        <v>51</v>
      </c>
    </row>
  </sheetData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0"/>
  <sheetViews>
    <sheetView workbookViewId="0">
      <selection activeCell="A1" sqref="A1"/>
    </sheetView>
  </sheetViews>
  <sheetFormatPr defaultColWidth="3.77777777777778" defaultRowHeight="18.75"/>
  <cols>
    <col min="1" max="1" width="3.77777777777778" customWidth="1"/>
    <col min="2" max="2" width="30.7777777777778" customWidth="1"/>
    <col min="3" max="4" width="5.77777777777778" customWidth="1"/>
    <col min="5" max="5" width="40.7777777777778" customWidth="1"/>
    <col min="6" max="6" width="3.77777777777778" customWidth="1"/>
  </cols>
  <sheetData>
    <row r="2" spans="2:5">
      <c r="B2" s="1" t="s">
        <v>37</v>
      </c>
      <c r="C2" s="1"/>
      <c r="D2" s="1"/>
      <c r="E2" s="2" t="s">
        <v>38</v>
      </c>
    </row>
    <row r="3" spans="2:5">
      <c r="B3" s="3" t="s">
        <v>60</v>
      </c>
      <c r="C3" s="3"/>
      <c r="D3" s="3"/>
      <c r="E3" s="4" t="s">
        <v>53</v>
      </c>
    </row>
    <row r="4" spans="2:5">
      <c r="B4" s="1" t="s">
        <v>39</v>
      </c>
      <c r="C4" s="1"/>
      <c r="D4" s="1"/>
      <c r="E4" s="1"/>
    </row>
    <row r="5" spans="2:5">
      <c r="B5" s="3" t="s">
        <v>843</v>
      </c>
      <c r="C5" s="3"/>
      <c r="D5" s="3"/>
      <c r="E5" s="3"/>
    </row>
    <row r="7" spans="2:5">
      <c r="B7" s="5" t="s">
        <v>83</v>
      </c>
      <c r="C7" s="5" t="s">
        <v>84</v>
      </c>
      <c r="D7" s="5" t="s">
        <v>769</v>
      </c>
      <c r="E7" s="5" t="s">
        <v>39</v>
      </c>
    </row>
    <row r="8" spans="2:5">
      <c r="B8" s="10" t="s">
        <v>408</v>
      </c>
      <c r="C8" s="4"/>
      <c r="D8" s="4"/>
      <c r="E8" s="10" t="s">
        <v>421</v>
      </c>
    </row>
    <row r="9" spans="2:5">
      <c r="B9" s="10" t="s">
        <v>782</v>
      </c>
      <c r="C9" s="4"/>
      <c r="D9" s="4"/>
      <c r="E9" s="10" t="s">
        <v>783</v>
      </c>
    </row>
    <row r="10" spans="2:5">
      <c r="B10" s="10" t="s">
        <v>294</v>
      </c>
      <c r="C10" s="4"/>
      <c r="D10" s="4"/>
      <c r="E10" s="10" t="s">
        <v>319</v>
      </c>
    </row>
    <row r="11" spans="2:5">
      <c r="B11" s="10" t="s">
        <v>786</v>
      </c>
      <c r="C11" s="4"/>
      <c r="D11" s="4"/>
      <c r="E11" s="10" t="s">
        <v>787</v>
      </c>
    </row>
    <row r="12" spans="2:5">
      <c r="B12" s="10" t="s">
        <v>789</v>
      </c>
      <c r="C12" s="4"/>
      <c r="D12" s="4"/>
      <c r="E12" s="10" t="s">
        <v>790</v>
      </c>
    </row>
    <row r="13" spans="2:5">
      <c r="B13" s="10" t="s">
        <v>791</v>
      </c>
      <c r="C13" s="4"/>
      <c r="D13" s="4"/>
      <c r="E13" s="10" t="s">
        <v>792</v>
      </c>
    </row>
    <row r="14" spans="2:8">
      <c r="B14" s="10" t="s">
        <v>794</v>
      </c>
      <c r="C14" s="4"/>
      <c r="D14" s="4"/>
      <c r="E14" s="10" t="s">
        <v>795</v>
      </c>
      <c r="H14" t="s">
        <v>796</v>
      </c>
    </row>
    <row r="15" spans="2:9">
      <c r="B15" s="10" t="s">
        <v>797</v>
      </c>
      <c r="C15" s="4"/>
      <c r="D15" s="4"/>
      <c r="E15" s="10" t="s">
        <v>798</v>
      </c>
      <c r="I15" t="s">
        <v>51</v>
      </c>
    </row>
    <row r="16" spans="2:5">
      <c r="B16" s="10" t="s">
        <v>799</v>
      </c>
      <c r="C16" s="4"/>
      <c r="D16" s="4"/>
      <c r="E16" s="10" t="s">
        <v>800</v>
      </c>
    </row>
    <row r="17" spans="2:5">
      <c r="B17" s="10" t="s">
        <v>801</v>
      </c>
      <c r="C17" s="4"/>
      <c r="D17" s="4"/>
      <c r="E17" s="10" t="s">
        <v>802</v>
      </c>
    </row>
    <row r="18" spans="2:5">
      <c r="B18" s="10" t="s">
        <v>297</v>
      </c>
      <c r="C18" s="10"/>
      <c r="D18" s="10"/>
      <c r="E18" s="10" t="s">
        <v>329</v>
      </c>
    </row>
    <row r="19" spans="2:5">
      <c r="B19" s="10" t="s">
        <v>805</v>
      </c>
      <c r="C19" s="4"/>
      <c r="D19" s="4"/>
      <c r="E19" s="10" t="s">
        <v>806</v>
      </c>
    </row>
    <row r="20" spans="2:5">
      <c r="B20" s="10" t="s">
        <v>440</v>
      </c>
      <c r="C20" s="4"/>
      <c r="D20" s="4"/>
      <c r="E20" s="10" t="s">
        <v>51</v>
      </c>
    </row>
  </sheetData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4"/>
  <sheetViews>
    <sheetView workbookViewId="0">
      <selection activeCell="A1" sqref="A1"/>
    </sheetView>
  </sheetViews>
  <sheetFormatPr defaultColWidth="3.77777777777778" defaultRowHeight="18.75" outlineLevelCol="6"/>
  <cols>
    <col min="1" max="1" width="3.77777777777778" customWidth="1"/>
    <col min="2" max="2" width="30.7777777777778" customWidth="1"/>
    <col min="3" max="4" width="5.77777777777778" customWidth="1"/>
    <col min="5" max="5" width="40.7777777777778" customWidth="1"/>
    <col min="6" max="6" width="3.77777777777778" customWidth="1"/>
  </cols>
  <sheetData>
    <row r="2" spans="2:7">
      <c r="B2" s="1" t="s">
        <v>37</v>
      </c>
      <c r="C2" s="1"/>
      <c r="D2" s="1"/>
      <c r="E2" s="2" t="s">
        <v>38</v>
      </c>
      <c r="G2" t="s">
        <v>844</v>
      </c>
    </row>
    <row r="3" spans="2:7">
      <c r="B3" s="3" t="s">
        <v>61</v>
      </c>
      <c r="C3" s="3"/>
      <c r="D3" s="3"/>
      <c r="E3" s="4" t="s">
        <v>53</v>
      </c>
      <c r="G3" t="s">
        <v>845</v>
      </c>
    </row>
    <row r="4" spans="2:7">
      <c r="B4" s="1" t="s">
        <v>39</v>
      </c>
      <c r="C4" s="1"/>
      <c r="D4" s="1"/>
      <c r="E4" s="1"/>
      <c r="G4" t="s">
        <v>846</v>
      </c>
    </row>
    <row r="5" spans="2:7">
      <c r="B5" s="3" t="s">
        <v>847</v>
      </c>
      <c r="C5" s="3"/>
      <c r="D5" s="3"/>
      <c r="E5" s="3"/>
      <c r="G5" t="s">
        <v>303</v>
      </c>
    </row>
    <row r="6" spans="7:7">
      <c r="G6" t="s">
        <v>51</v>
      </c>
    </row>
    <row r="7" spans="2:5">
      <c r="B7" s="5" t="s">
        <v>83</v>
      </c>
      <c r="C7" s="5" t="s">
        <v>84</v>
      </c>
      <c r="D7" s="5" t="s">
        <v>769</v>
      </c>
      <c r="E7" s="5" t="s">
        <v>39</v>
      </c>
    </row>
    <row r="8" spans="2:5">
      <c r="B8" s="10" t="s">
        <v>782</v>
      </c>
      <c r="C8" s="4"/>
      <c r="D8" s="4"/>
      <c r="E8" s="10" t="s">
        <v>783</v>
      </c>
    </row>
    <row r="9" spans="2:5">
      <c r="B9" s="10" t="s">
        <v>294</v>
      </c>
      <c r="C9" s="4"/>
      <c r="D9" s="4"/>
      <c r="E9" s="10" t="s">
        <v>319</v>
      </c>
    </row>
    <row r="10" spans="2:5">
      <c r="B10" s="10"/>
      <c r="C10" s="10"/>
      <c r="D10" s="10"/>
      <c r="E10" s="10" t="s">
        <v>806</v>
      </c>
    </row>
    <row r="11" spans="2:5">
      <c r="B11" s="10"/>
      <c r="C11" s="10"/>
      <c r="D11" s="10"/>
      <c r="E11" s="10" t="s">
        <v>802</v>
      </c>
    </row>
    <row r="12" spans="2:5">
      <c r="B12" s="10"/>
      <c r="C12" s="4"/>
      <c r="D12" s="4"/>
      <c r="E12" s="10" t="s">
        <v>798</v>
      </c>
    </row>
    <row r="13" spans="2:5">
      <c r="B13" s="10" t="s">
        <v>297</v>
      </c>
      <c r="C13" s="10"/>
      <c r="D13" s="10"/>
      <c r="E13" s="10" t="s">
        <v>329</v>
      </c>
    </row>
    <row r="14" spans="2:5">
      <c r="B14" s="10" t="s">
        <v>440</v>
      </c>
      <c r="C14" s="4"/>
      <c r="D14" s="4"/>
      <c r="E14" s="10" t="s">
        <v>51</v>
      </c>
    </row>
  </sheetData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6"/>
  <sheetViews>
    <sheetView workbookViewId="0">
      <selection activeCell="A1" sqref="A1"/>
    </sheetView>
  </sheetViews>
  <sheetFormatPr defaultColWidth="3.77777777777778" defaultRowHeight="18.75" outlineLevelCol="4"/>
  <cols>
    <col min="1" max="1" width="3.77777777777778" customWidth="1"/>
    <col min="2" max="2" width="30.7777777777778" customWidth="1"/>
    <col min="3" max="4" width="5.77777777777778" customWidth="1"/>
    <col min="5" max="5" width="40.7777777777778" customWidth="1"/>
    <col min="6" max="6" width="3.77777777777778" customWidth="1"/>
  </cols>
  <sheetData>
    <row r="2" spans="2:5">
      <c r="B2" s="1" t="s">
        <v>37</v>
      </c>
      <c r="C2" s="1"/>
      <c r="D2" s="1"/>
      <c r="E2" s="2" t="s">
        <v>38</v>
      </c>
    </row>
    <row r="3" spans="2:5">
      <c r="B3" s="3" t="s">
        <v>63</v>
      </c>
      <c r="C3" s="3"/>
      <c r="D3" s="3"/>
      <c r="E3" s="4" t="s">
        <v>53</v>
      </c>
    </row>
    <row r="4" spans="2:5">
      <c r="B4" s="1" t="s">
        <v>39</v>
      </c>
      <c r="C4" s="1"/>
      <c r="D4" s="1"/>
      <c r="E4" s="1"/>
    </row>
    <row r="5" spans="2:5">
      <c r="B5" s="3" t="s">
        <v>64</v>
      </c>
      <c r="C5" s="3"/>
      <c r="D5" s="3"/>
      <c r="E5" s="3"/>
    </row>
    <row r="7" spans="2:5">
      <c r="B7" s="5" t="s">
        <v>83</v>
      </c>
      <c r="C7" s="5" t="s">
        <v>84</v>
      </c>
      <c r="D7" s="5" t="s">
        <v>769</v>
      </c>
      <c r="E7" s="5" t="s">
        <v>39</v>
      </c>
    </row>
    <row r="8" spans="2:5">
      <c r="B8" s="6" t="s">
        <v>848</v>
      </c>
      <c r="C8" s="7"/>
      <c r="D8" s="7"/>
      <c r="E8" s="6" t="s">
        <v>849</v>
      </c>
    </row>
    <row r="9" spans="2:5">
      <c r="B9" s="8"/>
      <c r="C9" s="8"/>
      <c r="D9" s="8"/>
      <c r="E9" s="8" t="s">
        <v>850</v>
      </c>
    </row>
    <row r="10" spans="2:5">
      <c r="B10" s="8"/>
      <c r="C10" s="8"/>
      <c r="D10" s="8"/>
      <c r="E10" s="8" t="s">
        <v>851</v>
      </c>
    </row>
    <row r="11" spans="2:5">
      <c r="B11" s="9"/>
      <c r="C11" s="9"/>
      <c r="D11" s="9"/>
      <c r="E11" s="9" t="s">
        <v>852</v>
      </c>
    </row>
    <row r="12" spans="2:5">
      <c r="B12" s="6" t="s">
        <v>853</v>
      </c>
      <c r="C12" s="7"/>
      <c r="D12" s="7"/>
      <c r="E12" s="6" t="s">
        <v>854</v>
      </c>
    </row>
    <row r="13" spans="2:5">
      <c r="B13" s="9"/>
      <c r="C13" s="9"/>
      <c r="D13" s="9"/>
      <c r="E13" s="9" t="s">
        <v>855</v>
      </c>
    </row>
    <row r="14" spans="2:5">
      <c r="B14" s="6" t="s">
        <v>856</v>
      </c>
      <c r="C14" s="7"/>
      <c r="D14" s="7"/>
      <c r="E14" s="6" t="s">
        <v>857</v>
      </c>
    </row>
    <row r="15" spans="2:5">
      <c r="B15" s="8"/>
      <c r="C15" s="8"/>
      <c r="D15" s="8"/>
      <c r="E15" s="8" t="s">
        <v>858</v>
      </c>
    </row>
    <row r="16" spans="2:5">
      <c r="B16" s="9"/>
      <c r="C16" s="9"/>
      <c r="D16" s="9"/>
      <c r="E16" s="9" t="s">
        <v>859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SQLite</vt:lpstr>
      <vt:lpstr>コマンド集</vt:lpstr>
      <vt:lpstr>テーブル一覧</vt:lpstr>
      <vt:lpstr>MATCHES</vt:lpstr>
      <vt:lpstr>MATCH_TEAM</vt:lpstr>
      <vt:lpstr>GROUPSTAGE</vt:lpstr>
      <vt:lpstr>TEAM</vt:lpstr>
      <vt:lpstr>FIFARANK</vt:lpstr>
      <vt:lpstr>SCORE_SHEET</vt:lpstr>
      <vt:lpstr>GROUP_RANK</vt:lpstr>
      <vt:lpstr>GROUP_RANK0</vt:lpstr>
      <vt:lpstr>GROUP_RANK1</vt:lpstr>
      <vt:lpstr>GROUP_RANK2</vt:lpstr>
      <vt:lpstr>GROUP_RANK3</vt:lpstr>
      <vt:lpstr>EIGHT_OF_THIRD</vt:lpstr>
      <vt:lpstr>RESULTS_STATS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みずき</dc:creator>
  <cp:lastModifiedBy>みずき</cp:lastModifiedBy>
  <dcterms:created xsi:type="dcterms:W3CDTF">2026-06-19T07:26:00Z</dcterms:created>
  <dcterms:modified xsi:type="dcterms:W3CDTF">2026-07-16T08:21:31Z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EEBC944A979041AB8D494D908BC67D89_11</vt:lpwstr>
  </property>
  <property fmtid="{D5CDD505-2E9C-101B-9397-08002B2CF9AE}" pid="3" name="KSOProductBuildVer">
    <vt:lpwstr>1041-12.2.0.21931</vt:lpwstr>
  </property>
</Properties>
</file>